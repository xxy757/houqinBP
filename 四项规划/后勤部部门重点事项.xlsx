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后勤部重点事项" sheetId="1" r:id="rId1"/>
    <sheet name="后勤部部门规划（人力）细化方案-副本" sheetId="4" state="hidden" r:id="rId2"/>
    <sheet name="WpsReserved_CellImgList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<sst xmlns="http://schemas.openxmlformats.org/spreadsheetml/2006/main" count="325" uniqueCount="291">
  <si>
    <t>问题定义 Define</t>
  </si>
  <si>
    <t>改善目标 Target</t>
  </si>
  <si>
    <t>分析与改善 Analysis</t>
  </si>
  <si>
    <t>计划与实施 Plan &amp; Do</t>
  </si>
  <si>
    <t>重点事项</t>
  </si>
  <si>
    <t>细分</t>
  </si>
  <si>
    <t>问题</t>
  </si>
  <si>
    <t>现状基础值</t>
  </si>
  <si>
    <t>阶段性目标</t>
  </si>
  <si>
    <r>
      <rPr>
        <sz val="10"/>
        <color rgb="FF000000"/>
        <rFont val="微软雅黑"/>
        <charset val="134"/>
      </rPr>
      <t xml:space="preserve">改善项目
</t>
    </r>
    <r>
      <rPr>
        <sz val="8"/>
        <color rgb="FF000000"/>
        <rFont val="微软雅黑"/>
        <charset val="134"/>
      </rPr>
      <t xml:space="preserve"> (一级)</t>
    </r>
  </si>
  <si>
    <t>序号</t>
  </si>
  <si>
    <r>
      <rPr>
        <sz val="10"/>
        <color rgb="FF000000"/>
        <rFont val="微软雅黑"/>
        <charset val="134"/>
      </rPr>
      <t xml:space="preserve">子项目
</t>
    </r>
    <r>
      <rPr>
        <sz val="8"/>
        <color rgb="FF000000"/>
        <rFont val="微软雅黑"/>
        <charset val="134"/>
      </rPr>
      <t xml:space="preserve"> (二级)</t>
    </r>
  </si>
  <si>
    <r>
      <rPr>
        <sz val="10"/>
        <color rgb="FF000000"/>
        <rFont val="微软雅黑"/>
        <charset val="134"/>
      </rPr>
      <t>实施内容/动作</t>
    </r>
    <r>
      <rPr>
        <sz val="8"/>
        <color rgb="FF000000"/>
        <rFont val="微软雅黑"/>
        <charset val="134"/>
      </rPr>
      <t xml:space="preserve"> 
(三级)</t>
    </r>
  </si>
  <si>
    <t>输出物</t>
  </si>
  <si>
    <t>责任人</t>
  </si>
  <si>
    <t>开始时间</t>
  </si>
  <si>
    <t>计划完成时间</t>
  </si>
  <si>
    <t>后勤部部门规划</t>
  </si>
  <si>
    <t>人力
（架构优化）</t>
  </si>
  <si>
    <t>目前后勤部仍聚焦传统后勤管理，需搭建新后勤架构</t>
  </si>
  <si>
    <t>仍聚焦传统后勤管理</t>
  </si>
  <si>
    <t>第1年完成新架构设计方案；第2年正式切换运行</t>
  </si>
  <si>
    <t>组织架构变革</t>
  </si>
  <si>
    <t>新后勤架构设计</t>
  </si>
  <si>
    <t>①成立变革项目组 ；
②完成岗位说明书初稿 ；
③编制规划草案； 
④明确数字化中心、文控中心等新部门定位</t>
  </si>
  <si>
    <t>《后勤组织变革方案V1.0》+岗位说明书</t>
  </si>
  <si>
    <t>数字化/文控等新岗位招不到合适人才，人才缺口大</t>
  </si>
  <si>
    <t>新岗位空缺率100%</t>
  </si>
  <si>
    <t>第1年核心团队到位2-3人；第2年到岗率≥80%；第3年≥95%</t>
  </si>
  <si>
    <t>招</t>
  </si>
  <si>
    <t>外部招聘与柔性引才</t>
  </si>
  <si>
    <t>①提前布局校招 ；
②内培外引并行 ；
③柔性引才（顾问/兼职）；</t>
  </si>
  <si>
    <t>招聘计划+到岗人才名单</t>
  </si>
  <si>
    <t>内部缺乏数字化/文控等新岗位的现成人才</t>
  </si>
  <si>
    <t>内部无相关储备</t>
  </si>
  <si>
    <t>第5年内部晋升比例≥80%，关键岗位后备覆盖率100%</t>
  </si>
  <si>
    <t>育</t>
  </si>
  <si>
    <t>内部培养与人才梯队</t>
  </si>
  <si>
    <t>①高潜员工定向培养；
②建立能力矩阵与双通道（管理/专业）</t>
  </si>
  <si>
    <t>后备人才库+培养方案</t>
  </si>
  <si>
    <t>员工担心岗位变动，抵触变革</t>
  </si>
  <si>
    <t>沟通与过渡期支持</t>
  </si>
  <si>
    <t>①分层沟通会（管理层→骨干→全员）；
②提供转岗培训和过渡期 ；
③建立反馈渠道 ；
④打造标杆案例宣传</t>
  </si>
  <si>
    <t>沟通纪要+培训记录+文化宣传材料</t>
  </si>
  <si>
    <t>传统后勤人员技能与数字化、智能化新模式不匹配</t>
  </si>
  <si>
    <t>传统服务技能为主，数字化能力为0</t>
  </si>
  <si>
    <t>第2年技能认证率≥30%；第3年≥55%；第5年≥90%</t>
  </si>
  <si>
    <t>数字化技能培训</t>
  </si>
  <si>
    <t>①开设数字化通识课（Excel、BI、系统操作）；
②专项技能培训（Python/SQL/RPA/文控标准）；
③鼓励外部认证</t>
  </si>
  <si>
    <t>培训计划+认证通过名单</t>
  </si>
  <si>
    <t>现有考核指标偏重“干了多少活”，缺乏价值导向</t>
  </si>
  <si>
    <t>无服务质量、效率、数据等指标</t>
  </si>
  <si>
    <t>第3年SLA达成率≥90%，内部满意度+10pt</t>
  </si>
  <si>
    <t>选</t>
  </si>
  <si>
    <t>KPI体系重构</t>
  </si>
  <si>
    <t>①设计新KPI（SLA达成率、系统覆盖率、数据采纳率、响应效率） ；
②持续改进机制</t>
  </si>
  <si>
    <t>绩效管理制度+SLA协议</t>
  </si>
  <si>
    <t>核心数字化人才可能被挖角</t>
  </si>
  <si>
    <t>关键岗位流失风险高</t>
  </si>
  <si>
    <t>第5年核心岗位主动流失率≤5%</t>
  </si>
  <si>
    <t>留</t>
  </si>
  <si>
    <t>薪酬与职业发展</t>
  </si>
  <si>
    <t>①技能津贴；
②职业双通道（管理/专业）；
③有竞争力的培训资源（行业认证、外部交流）；
④定期人才盘点与关怀</t>
  </si>
  <si>
    <t>薪酬制度+晋升通道方案+人才盘点报告</t>
  </si>
  <si>
    <t>经验散落在个人，新人上手慢</t>
  </si>
  <si>
    <t>无标准化培训材料</t>
  </si>
  <si>
    <t>第3年知识库文档≥5000份，检索命中率≥85%</t>
  </si>
  <si>
    <t>知识管理</t>
  </si>
  <si>
    <t>内部讲师与知识库</t>
  </si>
  <si>
    <t>①各岗位输出SOP、操作视频、FAQ
②培养内部讲师
③建立文控中心知识库</t>
  </si>
  <si>
    <t>知识库平台+内部讲师名单</t>
  </si>
  <si>
    <t>新岗位职责不清，协作效率低</t>
  </si>
  <si>
    <t>岗位边界模糊</t>
  </si>
  <si>
    <t>第3年运行机制完善，SLA达成率≥90%</t>
  </si>
  <si>
    <t>组织效能</t>
  </si>
  <si>
    <t>岗位职责与流程优化</t>
  </si>
  <si>
    <t>①定期更新岗位说明书 ；
②跨部门协作流程定义；
 ③内部满意度调查与改进闭环</t>
  </si>
  <si>
    <t>岗位说明书+流程文档+满意度报告</t>
  </si>
  <si>
    <t>财务
（降本增效）</t>
  </si>
  <si>
    <t>后勤总成本结构不清，缺乏全成本核算与降本基线</t>
  </si>
  <si>
    <t>财务规划与分析</t>
  </si>
  <si>
    <t>费用分析及成本基线建立</t>
  </si>
  <si>
    <t>①全成本核算 ②建立成本数据库 ③识别降本机会</t>
  </si>
  <si>
    <t>后勤部费用分析对比</t>
  </si>
  <si>
    <t>梁晓茵</t>
  </si>
  <si>
    <t>传统后勤领域降本空间未挖掘，外包/采购/能耗粗放</t>
  </si>
  <si>
    <t>财务优化</t>
  </si>
  <si>
    <t>降本措施落地</t>
  </si>
  <si>
    <t>①外包重新招标 ②能耗管控项目</t>
  </si>
  <si>
    <t>后勤部降本降费详细实施计划</t>
  </si>
  <si>
    <t>各处</t>
  </si>
  <si>
    <t>人均后勤成本偏高，人员效率指标缺失</t>
  </si>
  <si>
    <t>人均效能提升</t>
  </si>
  <si>
    <t>①精简编制优化 ②流程自动化替代 ③技能培训提效</t>
  </si>
  <si>
    <t>数字化投入可能超预算，缺乏弹性应对</t>
  </si>
  <si>
    <t>财务风控</t>
  </si>
  <si>
    <t>预算超支风险应对</t>
  </si>
  <si>
    <t>① 每阶段进行执行情况分析和失效分析 ②预留20%弹性预算</t>
  </si>
  <si>
    <t>后勤部降本降费执行情况分析</t>
  </si>
  <si>
    <t>部长</t>
  </si>
  <si>
    <t>每季度末</t>
  </si>
  <si>
    <t>信息化</t>
  </si>
  <si>
    <t>一、网络基础设施优化</t>
  </si>
  <si>
    <t>公司内部网络通信层改善</t>
  </si>
  <si>
    <t>有线网络</t>
  </si>
  <si>
    <t>开展全网资产盘点与链路健康度评估，识别带宽瓶颈、单点故障风险及设备老化节点。</t>
  </si>
  <si>
    <t>《网络现状评估报告》</t>
  </si>
  <si>
    <t>无线网络</t>
  </si>
  <si>
    <t>部署无线网络统一纳管，实现按层级或厂区集中管理，减少布线及维护成本从而能降低设备采购和维护成本、提升网络安全与稳定性。</t>
  </si>
  <si>
    <t>《Wi-Fi无线规划方案》</t>
  </si>
  <si>
    <t>网络安全防护与隔离</t>
  </si>
  <si>
    <t>部署下一代防火墙(NGFW)构建边界防御体系，确保公司内部数据安全防泄漏；</t>
  </si>
  <si>
    <t>《网络安全管理制度》</t>
  </si>
  <si>
    <t>公司内部计算资源层改善</t>
  </si>
  <si>
    <t>盘点现有服务器</t>
  </si>
  <si>
    <t>完成服务器全量资产核查（型号规格、服役年限、性能指标），输出淘汰更新清单与利旧评估结论。</t>
  </si>
  <si>
    <t>《服务器资产台账》（含淘汰计划）</t>
  </si>
  <si>
    <t>数据备份</t>
  </si>
  <si>
    <t>落实本地全量备份与异地容灾双保险机制，推进核心数据库读写分离与缓存加速优化。</t>
  </si>
  <si>
    <t>《数据备份策略》</t>
  </si>
  <si>
    <t>办公资源标准化</t>
  </si>
  <si>
    <t>开展终端设备全域普查，按岗位职级制定标准化配置基线并锁定采购选型范围。</t>
  </si>
  <si>
    <t>《终端设备标准化配置规范》</t>
  </si>
  <si>
    <t>公司内部物理保障层改善</t>
  </si>
  <si>
    <t>机房达标建设/改造</t>
  </si>
  <si>
    <t>对照GB50174/TIA-942机房建设标准开展合规性评估，编制改建或新建工程方案，UPS不间断电源（停电也能撑2小时）。</t>
  </si>
  <si>
    <t>《机房评估报告与建设方案》</t>
  </si>
  <si>
    <t>二、数字化系统部署</t>
  </si>
  <si>
    <t>OA系统</t>
  </si>
  <si>
    <t>OA实现各系统数据互通</t>
  </si>
  <si>
    <t>当前系统为钉钉，经调研与评估决定OA产品，通过后续集成实现OA与其余系统的数据互联互通，消除信息孤岛与重复录入，确保仅在移动端覆盖完成报表、查看、审批等流程。</t>
  </si>
  <si>
    <t>《OA系统需求规格说明书》《业务流程蓝图设计文档》《系统集成接口规范》《用户操作手册与培训材料》</t>
  </si>
  <si>
    <t>HR系统</t>
  </si>
  <si>
    <t>HR人力资源管理系统</t>
  </si>
  <si>
    <t>①构建"选-用-育-留-离"全生命周期管理平台，覆盖招聘管理、入转调离、组织人事、绩效薪酬等核心模块；</t>
  </si>
  <si>
    <t>《HR系统功能需求规格书》《组织岗位架构设计方案》</t>
  </si>
  <si>
    <t>②实现薪资核算自动化（考勤联动/社保公积金/个税计算），支持电子工资条推送与多维度薪酬分析报表；</t>
  </si>
  <si>
    <t>③部署学习管理系统与在线考试模块；搭建OKR/KPI绩效管理闭环（目标设定→过程跟踪→考核评估→结果应用</t>
  </si>
  <si>
    <t>CRM\SRM系统</t>
  </si>
  <si>
    <t>CRM\SRM客户关系与供应商关系管理系统</t>
  </si>
  <si>
    <t>以当前部署系统：纷享销客\携客云系统，深度集成，实现数据互通，无纸质单据，信息追溯化</t>
  </si>
  <si>
    <t>《CRM接口规范》《SRM接口规范》</t>
  </si>
  <si>
    <t>MES\WMS\QMS</t>
  </si>
  <si>
    <t>MES\WMS\QMS生产制造执行、仓储管理与质量管理系统</t>
  </si>
  <si>
    <t>当前车间依赖人治、缺乏标准、信息化系统严重不足，与美云智数的生态伙伴--巨友通积极推进此项目，构建生产透明，减少差异。（需要与其他系统高度集成配合，共同推进数字化项目）</t>
  </si>
  <si>
    <t>《MES/WMS实施方案》《宝士MES/WMS蓝图》《宝士MES/WMS操作手册》</t>
  </si>
  <si>
    <t>ERP金蝶系统升级</t>
  </si>
  <si>
    <t>增加现有金蝶内部字段参数，以便高效的利用已有系统对生产、成本、库存等进行更深层次的把控，例如（安全库存、多态化物料计划等）；如有特殊需要，对当前系统进行二次开发</t>
  </si>
  <si>
    <t>《金蝶云星空ERP系统项目验收报告》</t>
  </si>
  <si>
    <t>PLM系统升级</t>
  </si>
  <si>
    <t>PLM金蝶系统升级</t>
  </si>
  <si>
    <t>为了满足公司价值链提升，需大量自主研发产品，因此对技术系统有极大挑战，在已有PLM系统的基础上优化提升，对后期技术迭代更新有极大优势</t>
  </si>
  <si>
    <t>《PLM系统验收报告》</t>
  </si>
  <si>
    <t>三、智能AI化</t>
  </si>
  <si>
    <t>智能园区产区</t>
  </si>
  <si>
    <t>工业视觉与智慧园区</t>
  </si>
  <si>
    <t>①针对[具体产线/产品]部署AI视觉检测方案，替代人工目检，实现缺陷自动识别与告警。
②训练AI的数据采集，自动识别园区内人员行为、机器动作、车辆，进行实时监察。</t>
  </si>
  <si>
    <t>《AI产线及质检报告》
《智慧园区方案》</t>
  </si>
  <si>
    <t>RPA机器人流程自动化</t>
  </si>
  <si>
    <t>自动化应用</t>
  </si>
  <si>
    <t>①梳理财务、后勤高频重复操作（如发票验真、考勤导入）；
②引入RPA机器人进行流程自动化处理。</t>
  </si>
  <si>
    <t>《RPA场景应用清单》</t>
  </si>
  <si>
    <t>运营数据可视化</t>
  </si>
  <si>
    <t>数字化转型引擎</t>
  </si>
  <si>
    <t>①整合OA、MES、ERP、PLM核心指标数据；
②搭建管理驾驶舱，展示订单交付、设备OEE、质量直通率实时看板。</t>
  </si>
  <si>
    <t>《数据决策平台验收报告》</t>
  </si>
  <si>
    <t>四、知识库</t>
  </si>
  <si>
    <t>公司内部系统知识库</t>
  </si>
  <si>
    <t>创建内部系统知识库</t>
  </si>
  <si>
    <t>针对各个系统的操作手册、功能手册以文档或浏览器形式进行统一归纳，对后期IT维护，员工培训减少成本付出</t>
  </si>
  <si>
    <t>《宝士系统知识库》</t>
  </si>
  <si>
    <t>专业
（部门优化）</t>
  </si>
  <si>
    <t>传统架构优化</t>
  </si>
  <si>
    <t>综合物料库</t>
  </si>
  <si>
    <t>总务库房优化</t>
  </si>
  <si>
    <t>总务库可升级为智能化设备，进行自动化入库、入账、出库、出账</t>
  </si>
  <si>
    <t>《总务库优化方案》</t>
  </si>
  <si>
    <t>冯秀萍</t>
  </si>
  <si>
    <t>行政事务处</t>
  </si>
  <si>
    <t>会议室申请优化</t>
  </si>
  <si>
    <t>会议室可升级管控设备，申请使用时自动通电开门，到时自动断电</t>
  </si>
  <si>
    <t>《会议室优化方案》</t>
  </si>
  <si>
    <t>梁美珍</t>
  </si>
  <si>
    <t>车辆管理优化</t>
  </si>
  <si>
    <t>新增车辆管理系统归集车辆数据，定期统计分析车辆使用数据，优化车辆配置</t>
  </si>
  <si>
    <t>《车辆管理优化方案》</t>
  </si>
  <si>
    <t>专项监察处</t>
  </si>
  <si>
    <t>客户来访接待优化</t>
  </si>
  <si>
    <t>通过线上分配工作通知责任人跟进、线下完成工作上报汇总、结束后自动复盘</t>
  </si>
  <si>
    <t>《客户来访接待优化方案》</t>
  </si>
  <si>
    <t>公司快递收发优化</t>
  </si>
  <si>
    <t>设立统一的收发区域并制定标准化操作指南，将收、寄件功能集成到钉钉中，在系统内即可完成下单，对账</t>
  </si>
  <si>
    <t>《公司快递收发优化方案》</t>
  </si>
  <si>
    <t>安保处</t>
  </si>
  <si>
    <t>生产垃圾变卖优化</t>
  </si>
  <si>
    <t>生产垃圾房增加监控设备，生产垃圾变卖无需人员现场跟进，监控跟进监察</t>
  </si>
  <si>
    <t>《生产垃圾房优化方案》</t>
  </si>
  <si>
    <t>李彐苗</t>
  </si>
  <si>
    <t>综合项目管理处</t>
  </si>
  <si>
    <t>宿舍申请流程优化</t>
  </si>
  <si>
    <t>增加信息化设备，住宿申请自动分配房间、发放钥匙</t>
  </si>
  <si>
    <t>《宿舍信息化设备方案》</t>
  </si>
  <si>
    <t>刁德华</t>
  </si>
  <si>
    <t>食堂管理流程优化</t>
  </si>
  <si>
    <t>打通后勤部与人力资源部的系统壁垒，每日用餐人数及餐补自动汇总下发</t>
  </si>
  <si>
    <t>《食堂管理流程优化方案》</t>
  </si>
  <si>
    <t>厂区空间管控优化</t>
  </si>
  <si>
    <t>调整为线上申请流程，并设立厂区监控覆盖监察，减少人员线下监察</t>
  </si>
  <si>
    <t>《厂区空间管理优化方案》</t>
  </si>
  <si>
    <t>黄志伟</t>
  </si>
  <si>
    <t>保洁增加自动化清洁设备</t>
  </si>
  <si>
    <t>增加自动化清洁设备,提高清洁效率，减少人员</t>
  </si>
  <si>
    <t>《保洁自动化设备方案》</t>
  </si>
  <si>
    <t>蔡国喜</t>
  </si>
  <si>
    <t>监控设备增加预警功能</t>
  </si>
  <si>
    <t>自动捕捉危险行为，预警通知安保处理</t>
  </si>
  <si>
    <t>《厂区监控优化方案》</t>
  </si>
  <si>
    <t>沈云杰</t>
  </si>
  <si>
    <t>车库车位管理优化</t>
  </si>
  <si>
    <t>调整为线上车位申请流程，人员离职后，自动通知安保人员并取消车位申请</t>
  </si>
  <si>
    <t>《车库车位管理优化方案》</t>
  </si>
  <si>
    <t>厂区安装智能水电表</t>
  </si>
  <si>
    <t>厂区各区域安装智能水电表，无需人工抄表，实时查询水电用量</t>
  </si>
  <si>
    <t>《厂区水电表优化方案》</t>
  </si>
  <si>
    <t>邝润锡</t>
  </si>
  <si>
    <t>厂区节能降耗项目</t>
  </si>
  <si>
    <t>在保障生产稳定运行时，减少能源浪费、降低单位产能能耗。</t>
  </si>
  <si>
    <t>《厂区节能降耗优化方案》</t>
  </si>
  <si>
    <t>厂区维护维修管理项目</t>
  </si>
  <si>
    <t>通过系统化、规范化的管理标准，保障厂区内设施、设备等各类资产开展全周期的养护与故障修复工作。</t>
  </si>
  <si>
    <t>《厂区维护维修管理优化方案》</t>
  </si>
  <si>
    <t>陈加辉</t>
  </si>
  <si>
    <t>厂区光伏项目</t>
  </si>
  <si>
    <t>在3号厂房、5号厂房楼顶增加光伏设备，自行发电供应公司使用，减少公司能耗</t>
  </si>
  <si>
    <t>《厂区光伏方案》</t>
  </si>
  <si>
    <t>目前后勤部仍聚焦传统后勤管理，需搭建支持自主品牌+自主渠道的新后勤架构</t>
  </si>
  <si>
    <t>建立“企业运营支持平台”型后勤组织</t>
  </si>
  <si>
    <t>①成立变革项目组 ②完成岗位说明书与编制规划草案 ③明确数字化中心、文控中心等新部门定位</t>
  </si>
  <si>
    <t>《后勤组织变革方案V1.0》</t>
  </si>
  <si>
    <t>现有后勤人员技能与数字化、智能化新模式不匹配</t>
  </si>
  <si>
    <t>传统服务技能为主</t>
  </si>
  <si>
    <t>关键岗位到岗率≥95%，员工技能认证率≥55%</t>
  </si>
  <si>
    <t>人才培养与引进</t>
  </si>
  <si>
    <t>人才供应链建设</t>
  </si>
  <si>
    <t>①数字化/文控等新岗位内培外引 ②建立后勤能力认证体系 ③柔性引才（顾问/兼职）</t>
  </si>
  <si>
    <t>人才梯队名单+培训计划</t>
  </si>
  <si>
    <t>人工排班、手工登记、分散管理，员工体验差</t>
  </si>
  <si>
    <t>传统人工模式</t>
  </si>
  <si>
    <t>智能化员工服务平台</t>
  </si>
  <si>
    <t>传统后勤升级</t>
  </si>
  <si>
    <t>食宿管理智能化</t>
  </si>
  <si>
    <t>①上线食宿APP（预订/反馈） ②数据分析优化资源配置 ③食堂营养搭配优化</t>
  </si>
  <si>
    <t>食宿APP+运营数据报告</t>
  </si>
  <si>
    <t>报修→响应被动模式，缺乏预防性维护</t>
  </si>
  <si>
    <t>被动响应式维修</t>
  </si>
  <si>
    <t>预测性维护体系</t>
  </si>
  <si>
    <t>设备全生命周期管理</t>
  </si>
  <si>
    <t>①IoT设备监控部署 ②制定预防性保养计划 ③建立维修知识库</t>
  </si>
  <si>
    <t>维修系统+IoT监测报告</t>
  </si>
  <si>
    <t>手工台账、实物盘点，周转效率低</t>
  </si>
  <si>
    <t>手工台账管理</t>
  </si>
  <si>
    <t>智能仓储管理</t>
  </si>
  <si>
    <t>WMS系统部署</t>
  </si>
  <si>
    <t>①WMS系统上线 ②条码/RFID应用 ③库存预警自动补货机制</t>
  </si>
  <si>
    <t>WMS系统+库存周转率提升报告</t>
  </si>
  <si>
    <t>人防为主、监控独立运行，应急响应慢</t>
  </si>
  <si>
    <t>人防+独立监控</t>
  </si>
  <si>
    <t>智慧安防一体化</t>
  </si>
  <si>
    <t>智慧安防平台建设</t>
  </si>
  <si>
    <t>①AI视频分析试点 ②门禁联动系统 ③应急指挥平台搭建</t>
  </si>
  <si>
    <t>安防一体化平台+应急演练报告</t>
  </si>
  <si>
    <t>无数据驱动能力，决策依靠经验</t>
  </si>
  <si>
    <t>缺乏数字化能力</t>
  </si>
  <si>
    <t>大数据运维中枢</t>
  </si>
  <si>
    <t>新后勤建设</t>
  </si>
  <si>
    <t>数字化中心运营</t>
  </si>
  <si>
    <t>①数据采集整合 ②BI看板开发 ③RPA流程自动化落地 ④AI应用探索</t>
  </si>
  <si>
    <t>BI看板+RPA自动化流程≥15%</t>
  </si>
  <si>
    <t>文件分散、版本混乱，知识资产流失</t>
  </si>
  <si>
    <t>无统一文控</t>
  </si>
  <si>
    <t>企业知识资产管理平台</t>
  </si>
  <si>
    <t>文控中心运营</t>
  </si>
  <si>
    <t>①文档全生命周期管理 ②版本控制与权限分级 ③知识库构建（≥5000份）</t>
  </si>
  <si>
    <t>文控系统+知识库</t>
  </si>
  <si>
    <t>系统孤岛，无法支撑新业务协同</t>
  </si>
  <si>
    <t>系统覆盖率低</t>
  </si>
  <si>
    <t>系统覆盖率≥85%，数据决策采纳率≥60%</t>
  </si>
  <si>
    <t>信息化建设</t>
  </si>
  <si>
    <t>统一后勤管理平台</t>
  </si>
  <si>
    <t>①现有系统盘点与集成 ②打通财务/人事系统 ③统一身份认证</t>
  </si>
  <si>
    <t>API接口+系统集成报告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</si>
</sst>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等线"/>
      <charset val="134"/>
      <scheme val="minor"/>
    </font>
    <font>
      <sz val="11"/>
      <color rgb="FF0F1115"/>
      <name val="等线"/>
      <charset val="134"/>
      <scheme val="minor"/>
    </font>
    <font>
      <sz val="10"/>
      <color rgb="FF0F1115"/>
      <name val="等线"/>
      <charset val="134"/>
      <scheme val="minor"/>
    </font>
    <font>
      <b/>
      <sz val="11"/>
      <color rgb="FF000000"/>
      <name val="微软雅黑"/>
      <charset val="134"/>
    </font>
    <font>
      <b/>
      <sz val="16"/>
      <color rgb="FF000000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u/>
      <sz val="10"/>
      <color rgb="FF0563C1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00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2E75B5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8496B0"/>
        <bgColor indexed="64"/>
      </patternFill>
    </fill>
    <fill>
      <patternFill patternType="solid">
        <fgColor rgb="FF5481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E6E6E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1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9" applyNumberFormat="0" applyAlignment="0" applyProtection="0">
      <alignment vertical="center"/>
    </xf>
    <xf numFmtId="0" fontId="22" fillId="13" borderId="20" applyNumberFormat="0" applyAlignment="0" applyProtection="0">
      <alignment vertical="center"/>
    </xf>
    <xf numFmtId="0" fontId="23" fillId="13" borderId="19" applyNumberFormat="0" applyAlignment="0" applyProtection="0">
      <alignment vertical="center"/>
    </xf>
    <xf numFmtId="0" fontId="24" fillId="14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5" borderId="5" xfId="0" applyFont="1" applyFill="1" applyBorder="1" applyAlignment="1" applyProtection="1">
      <alignment horizontal="center" vertical="center"/>
    </xf>
    <xf numFmtId="0" fontId="1" fillId="5" borderId="6" xfId="0" applyFont="1" applyFill="1" applyBorder="1" applyAlignment="1" applyProtection="1">
      <alignment horizontal="center" vertical="center"/>
    </xf>
    <xf numFmtId="0" fontId="2" fillId="6" borderId="7" xfId="0" applyFont="1" applyFill="1" applyBorder="1" applyAlignment="1" applyProtection="1">
      <alignment horizontal="center" vertical="center"/>
    </xf>
    <xf numFmtId="0" fontId="2" fillId="7" borderId="7" xfId="0" applyFont="1" applyFill="1" applyBorder="1" applyAlignment="1" applyProtection="1">
      <alignment horizontal="center" vertical="center"/>
    </xf>
    <xf numFmtId="0" fontId="2" fillId="8" borderId="7" xfId="0" applyFont="1" applyFill="1" applyBorder="1" applyAlignment="1" applyProtection="1">
      <alignment horizontal="center" vertical="center" wrapText="1"/>
    </xf>
    <xf numFmtId="0" fontId="2" fillId="9" borderId="7" xfId="0" applyFont="1" applyFill="1" applyBorder="1" applyAlignment="1" applyProtection="1">
      <alignment horizontal="center" vertical="center"/>
    </xf>
    <xf numFmtId="0" fontId="2" fillId="9" borderId="7" xfId="0" applyFont="1" applyFill="1" applyBorder="1" applyAlignment="1" applyProtection="1">
      <alignment horizontal="center" vertical="center" wrapText="1"/>
    </xf>
    <xf numFmtId="0" fontId="3" fillId="10" borderId="3" xfId="0" applyFont="1" applyFill="1" applyBorder="1" applyAlignment="1" applyProtection="1">
      <alignment horizontal="center" vertical="center" wrapText="1"/>
    </xf>
    <xf numFmtId="0" fontId="2" fillId="10" borderId="3" xfId="0" applyFont="1" applyFill="1" applyBorder="1" applyAlignment="1" applyProtection="1">
      <alignment horizontal="center" vertical="center" wrapText="1"/>
    </xf>
    <xf numFmtId="0" fontId="2" fillId="10" borderId="3" xfId="0" applyFont="1" applyFill="1" applyBorder="1" applyAlignment="1" applyProtection="1">
      <alignment vertical="center" wrapText="1"/>
    </xf>
    <xf numFmtId="0" fontId="4" fillId="0" borderId="3" xfId="0" applyFont="1" applyBorder="1" applyProtection="1">
      <alignment vertical="center"/>
    </xf>
    <xf numFmtId="0" fontId="2" fillId="10" borderId="3" xfId="0" applyFont="1" applyFill="1" applyBorder="1" applyAlignment="1" applyProtection="1">
      <alignment horizontal="center" vertical="center"/>
    </xf>
    <xf numFmtId="58" fontId="2" fillId="10" borderId="3" xfId="0" applyNumberFormat="1" applyFont="1" applyFill="1" applyBorder="1" applyAlignment="1" applyProtection="1">
      <alignment horizontal="center" vertical="center"/>
    </xf>
    <xf numFmtId="0" fontId="3" fillId="10" borderId="3" xfId="0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 wrapText="1"/>
    </xf>
    <xf numFmtId="0" fontId="5" fillId="0" borderId="3" xfId="0" applyFont="1" applyBorder="1" applyAlignment="1" applyProtection="1">
      <alignment vertical="center" wrapText="1"/>
    </xf>
    <xf numFmtId="0" fontId="5" fillId="0" borderId="8" xfId="0" applyFont="1" applyBorder="1" applyProtection="1">
      <alignment vertical="center"/>
    </xf>
    <xf numFmtId="0" fontId="6" fillId="0" borderId="0" xfId="0" applyFont="1">
      <alignment vertical="center"/>
    </xf>
    <xf numFmtId="0" fontId="7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>
      <alignment vertical="center"/>
    </xf>
    <xf numFmtId="0" fontId="8" fillId="10" borderId="6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center" vertical="center"/>
    </xf>
    <xf numFmtId="0" fontId="2" fillId="6" borderId="3" xfId="0" applyFont="1" applyFill="1" applyBorder="1" applyAlignment="1" applyProtection="1">
      <alignment horizontal="center" vertical="center"/>
    </xf>
    <xf numFmtId="0" fontId="2" fillId="9" borderId="3" xfId="0" applyFont="1" applyFill="1" applyBorder="1" applyAlignment="1" applyProtection="1">
      <alignment horizontal="center" vertical="center"/>
    </xf>
    <xf numFmtId="0" fontId="7" fillId="10" borderId="7" xfId="0" applyFont="1" applyFill="1" applyBorder="1" applyAlignment="1" applyProtection="1">
      <alignment horizontal="center" vertical="center"/>
    </xf>
    <xf numFmtId="0" fontId="3" fillId="10" borderId="9" xfId="0" applyFont="1" applyFill="1" applyBorder="1" applyAlignment="1" applyProtection="1">
      <alignment horizontal="center" vertical="center" wrapText="1"/>
    </xf>
    <xf numFmtId="0" fontId="2" fillId="10" borderId="7" xfId="0" applyFont="1" applyFill="1" applyBorder="1" applyAlignment="1" applyProtection="1">
      <alignment horizontal="center" vertical="center" wrapText="1"/>
    </xf>
    <xf numFmtId="0" fontId="2" fillId="10" borderId="1" xfId="0" applyFont="1" applyFill="1" applyBorder="1" applyAlignment="1" applyProtection="1">
      <alignment horizontal="center" vertical="center" wrapText="1"/>
    </xf>
    <xf numFmtId="0" fontId="2" fillId="10" borderId="4" xfId="0" applyFont="1" applyFill="1" applyBorder="1" applyAlignment="1" applyProtection="1">
      <alignment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2" fillId="10" borderId="2" xfId="0" applyFont="1" applyFill="1" applyBorder="1" applyAlignment="1" applyProtection="1">
      <alignment horizontal="center" vertical="center"/>
    </xf>
    <xf numFmtId="0" fontId="4" fillId="0" borderId="10" xfId="0" applyFont="1" applyBorder="1" applyProtection="1">
      <alignment vertical="center"/>
    </xf>
    <xf numFmtId="0" fontId="4" fillId="0" borderId="11" xfId="0" applyFont="1" applyBorder="1" applyProtection="1">
      <alignment vertical="center"/>
    </xf>
    <xf numFmtId="0" fontId="2" fillId="10" borderId="4" xfId="0" applyFont="1" applyFill="1" applyBorder="1" applyAlignment="1" applyProtection="1">
      <alignment horizontal="center" vertical="center" wrapText="1"/>
    </xf>
    <xf numFmtId="0" fontId="2" fillId="10" borderId="9" xfId="0" applyFont="1" applyFill="1" applyBorder="1" applyAlignment="1" applyProtection="1">
      <alignment vertical="center" wrapText="1"/>
    </xf>
    <xf numFmtId="0" fontId="4" fillId="0" borderId="7" xfId="0" applyFont="1" applyBorder="1" applyAlignment="1" applyProtection="1">
      <alignment horizontal="center" vertical="center"/>
    </xf>
    <xf numFmtId="0" fontId="2" fillId="10" borderId="12" xfId="0" applyFont="1" applyFill="1" applyBorder="1" applyAlignment="1" applyProtection="1">
      <alignment horizontal="center" vertical="center"/>
    </xf>
    <xf numFmtId="0" fontId="2" fillId="10" borderId="2" xfId="0" applyFont="1" applyFill="1" applyBorder="1" applyAlignment="1" applyProtection="1">
      <alignment horizontal="center" vertical="center" wrapText="1"/>
    </xf>
    <xf numFmtId="0" fontId="2" fillId="10" borderId="3" xfId="0" applyFont="1" applyFill="1" applyBorder="1" applyAlignment="1" applyProtection="1">
      <alignment horizontal="left" vertical="center" wrapText="1"/>
    </xf>
    <xf numFmtId="0" fontId="5" fillId="0" borderId="2" xfId="0" applyFont="1" applyBorder="1" applyAlignment="1" applyProtection="1">
      <alignment vertical="center" wrapText="1"/>
    </xf>
    <xf numFmtId="0" fontId="2" fillId="10" borderId="9" xfId="0" applyFont="1" applyFill="1" applyBorder="1" applyAlignment="1" applyProtection="1">
      <alignment horizontal="center" vertical="center" wrapText="1"/>
    </xf>
    <xf numFmtId="0" fontId="2" fillId="10" borderId="13" xfId="0" applyFont="1" applyFill="1" applyBorder="1" applyAlignment="1" applyProtection="1">
      <alignment horizontal="center" vertical="center" wrapText="1"/>
    </xf>
    <xf numFmtId="0" fontId="2" fillId="10" borderId="5" xfId="0" applyFont="1" applyFill="1" applyBorder="1" applyAlignment="1" applyProtection="1">
      <alignment horizontal="center" vertical="center" wrapText="1"/>
    </xf>
    <xf numFmtId="0" fontId="2" fillId="10" borderId="5" xfId="0" applyFont="1" applyFill="1" applyBorder="1" applyAlignment="1" applyProtection="1">
      <alignment vertical="center" wrapText="1"/>
    </xf>
    <xf numFmtId="0" fontId="4" fillId="0" borderId="13" xfId="0" applyFont="1" applyBorder="1" applyAlignment="1" applyProtection="1">
      <alignment horizontal="center" vertical="center"/>
    </xf>
    <xf numFmtId="0" fontId="2" fillId="10" borderId="14" xfId="0" applyFont="1" applyFill="1" applyBorder="1" applyAlignment="1" applyProtection="1">
      <alignment horizontal="center" vertical="center"/>
    </xf>
    <xf numFmtId="0" fontId="2" fillId="10" borderId="12" xfId="0" applyFont="1" applyFill="1" applyBorder="1" applyAlignment="1" applyProtection="1">
      <alignment horizontal="center" vertical="center" wrapText="1"/>
    </xf>
    <xf numFmtId="58" fontId="2" fillId="10" borderId="7" xfId="0" applyNumberFormat="1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 wrapText="1"/>
    </xf>
    <xf numFmtId="0" fontId="2" fillId="10" borderId="15" xfId="0" applyFont="1" applyFill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/>
    </xf>
    <xf numFmtId="0" fontId="5" fillId="0" borderId="3" xfId="0" applyFont="1" applyBorder="1" applyProtection="1">
      <alignment vertical="center"/>
    </xf>
    <xf numFmtId="0" fontId="3" fillId="10" borderId="7" xfId="0" applyFont="1" applyFill="1" applyBorder="1" applyAlignment="1" applyProtection="1">
      <alignment horizontal="center" vertical="center"/>
    </xf>
    <xf numFmtId="0" fontId="2" fillId="10" borderId="7" xfId="0" applyFont="1" applyFill="1" applyBorder="1" applyAlignment="1" applyProtection="1">
      <alignment horizontal="center" vertical="center"/>
    </xf>
    <xf numFmtId="0" fontId="9" fillId="10" borderId="3" xfId="0" applyFont="1" applyFill="1" applyBorder="1" applyAlignment="1" applyProtection="1">
      <alignment horizontal="center" vertical="center" wrapText="1"/>
    </xf>
    <xf numFmtId="0" fontId="9" fillId="10" borderId="7" xfId="0" applyFont="1" applyFill="1" applyBorder="1" applyAlignment="1" applyProtection="1">
      <alignment horizontal="center" vertical="center" wrapText="1"/>
    </xf>
    <xf numFmtId="0" fontId="4" fillId="0" borderId="0" xfId="0" applyFont="1">
      <alignment vertical="center"/>
    </xf>
    <xf numFmtId="0" fontId="4" fillId="0" borderId="13" xfId="0" applyFont="1" applyBorder="1" applyProtection="1">
      <alignment vertical="center"/>
    </xf>
    <xf numFmtId="0" fontId="2" fillId="10" borderId="0" xfId="0" applyFont="1" applyFill="1" applyAlignment="1">
      <alignment horizontal="left" vertical="center" wrapText="1"/>
    </xf>
    <xf numFmtId="0" fontId="4" fillId="0" borderId="10" xfId="0" applyFont="1" applyBorder="1" applyAlignment="1" applyProtection="1">
      <alignment vertical="center" wrapText="1"/>
    </xf>
    <xf numFmtId="0" fontId="4" fillId="0" borderId="13" xfId="0" applyFont="1" applyBorder="1" applyAlignment="1" applyProtection="1">
      <alignment vertical="center" wrapText="1"/>
    </xf>
    <xf numFmtId="0" fontId="3" fillId="10" borderId="7" xfId="0" applyFont="1" applyFill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left" vertical="center" wrapText="1"/>
    </xf>
    <xf numFmtId="58" fontId="10" fillId="0" borderId="3" xfId="0" applyNumberFormat="1" applyFont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left" vertical="center" wrapText="1"/>
    </xf>
    <xf numFmtId="0" fontId="10" fillId="0" borderId="13" xfId="0" applyFont="1" applyBorder="1" applyAlignment="1" applyProtection="1">
      <alignment horizontal="left" vertical="center" wrapText="1"/>
    </xf>
    <xf numFmtId="0" fontId="10" fillId="0" borderId="3" xfId="0" applyFont="1" applyBorder="1" applyAlignment="1" applyProtection="1">
      <alignment horizontal="left" vertical="center"/>
    </xf>
    <xf numFmtId="0" fontId="9" fillId="0" borderId="3" xfId="0" applyFont="1" applyBorder="1" applyAlignment="1" applyProtection="1">
      <alignment horizontal="center" vertical="center"/>
    </xf>
    <xf numFmtId="0" fontId="7" fillId="10" borderId="3" xfId="0" applyFont="1" applyFill="1" applyBorder="1" applyAlignment="1" applyProtection="1">
      <alignment horizontal="left" vertical="center"/>
    </xf>
    <xf numFmtId="0" fontId="2" fillId="10" borderId="3" xfId="0" applyFont="1" applyFill="1" applyBorder="1" applyAlignment="1" applyProtection="1">
      <alignment horizontal="left" vertical="center"/>
    </xf>
    <xf numFmtId="0" fontId="11" fillId="10" borderId="3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12"/>
  <sheetViews>
    <sheetView tabSelected="1" zoomScale="70" zoomScaleNormal="70" workbookViewId="0">
      <pane xSplit="3" ySplit="3" topLeftCell="D13" activePane="bottomRight" state="frozen"/>
      <selection/>
      <selection pane="topRight"/>
      <selection pane="bottomLeft"/>
      <selection pane="bottomRight" activeCell="I17" sqref="I17"/>
    </sheetView>
  </sheetViews>
  <sheetFormatPr defaultColWidth="9" defaultRowHeight="20" customHeight="1"/>
  <cols>
    <col min="1" max="1" width="13.5454545454545" style="24" customWidth="1"/>
    <col min="2" max="2" width="11.5" style="24" customWidth="1"/>
    <col min="3" max="3" width="35.3636363636364" style="24" customWidth="1"/>
    <col min="4" max="4" width="15.75" style="24" hidden="1"/>
    <col min="5" max="5" width="14.6666666666667" style="24" hidden="1" customWidth="1"/>
    <col min="6" max="6" width="35.3333333333333" style="24" hidden="1" customWidth="1"/>
    <col min="7" max="7" width="5.33333333333333" style="24" customWidth="1"/>
    <col min="8" max="8" width="29.6439393939394" style="24"/>
    <col min="9" max="9" width="72.8030303030303" style="25" customWidth="1"/>
    <col min="10" max="10" width="24.1666666666667" style="24" customWidth="1"/>
    <col min="11" max="11" width="9" style="24"/>
    <col min="12" max="12" width="10.1666666666667" style="24" customWidth="1"/>
    <col min="13" max="13" width="12" style="24" customWidth="1"/>
    <col min="14" max="40" width="9" style="24"/>
  </cols>
  <sheetData>
    <row r="1" ht="37.65" customHeight="1" spans="1:13">
      <c r="A1" s="26"/>
      <c r="B1" s="26"/>
      <c r="C1" s="26"/>
      <c r="D1" s="26"/>
      <c r="E1" s="26"/>
      <c r="F1" s="26"/>
    </row>
    <row r="2" s="23" customFormat="1" ht="37.65" customHeight="1" spans="1:13">
      <c r="A2" s="27" t="s">
        <v>0</v>
      </c>
      <c r="B2" s="1"/>
      <c r="C2" s="2"/>
      <c r="D2" s="3" t="s">
        <v>1</v>
      </c>
      <c r="E2" s="3"/>
      <c r="F2" s="4" t="s">
        <v>2</v>
      </c>
      <c r="G2" s="5" t="s">
        <v>3</v>
      </c>
      <c r="H2" s="6"/>
      <c r="I2" s="6"/>
      <c r="J2" s="6"/>
      <c r="K2" s="6"/>
      <c r="L2" s="6"/>
      <c r="M2" s="6"/>
    </row>
    <row r="3" ht="37.65" customHeight="1" spans="1:13">
      <c r="A3" s="28" t="s">
        <v>4</v>
      </c>
      <c r="B3" s="28" t="s">
        <v>5</v>
      </c>
      <c r="C3" s="7" t="s">
        <v>6</v>
      </c>
      <c r="D3" s="8" t="s">
        <v>7</v>
      </c>
      <c r="E3" s="8" t="s">
        <v>8</v>
      </c>
      <c r="F3" s="9" t="s">
        <v>9</v>
      </c>
      <c r="G3" s="29" t="s">
        <v>10</v>
      </c>
      <c r="H3" s="11" t="s">
        <v>11</v>
      </c>
      <c r="I3" s="11" t="s">
        <v>12</v>
      </c>
      <c r="J3" s="10" t="s">
        <v>13</v>
      </c>
      <c r="K3" s="29" t="s">
        <v>14</v>
      </c>
      <c r="L3" s="29" t="s">
        <v>15</v>
      </c>
      <c r="M3" s="29" t="s">
        <v>16</v>
      </c>
    </row>
    <row r="4" ht="67.65" customHeight="1" spans="1:13">
      <c r="A4" s="30" t="s">
        <v>17</v>
      </c>
      <c r="B4" s="31" t="s">
        <v>18</v>
      </c>
      <c r="C4" s="13" t="s">
        <v>19</v>
      </c>
      <c r="D4" s="13" t="s">
        <v>20</v>
      </c>
      <c r="E4" s="32" t="s">
        <v>21</v>
      </c>
      <c r="F4" s="13" t="s">
        <v>22</v>
      </c>
      <c r="G4" s="33">
        <f t="shared" ref="G4:G12" si="0">ROW()-3</f>
        <v>1</v>
      </c>
      <c r="H4" s="13" t="s">
        <v>23</v>
      </c>
      <c r="I4" s="34" t="s">
        <v>24</v>
      </c>
      <c r="J4" s="35" t="s">
        <v>25</v>
      </c>
      <c r="K4" s="36"/>
      <c r="L4" s="17">
        <v>46147</v>
      </c>
      <c r="M4" s="17"/>
    </row>
    <row r="5" ht="67.65" customHeight="1" spans="1:13">
      <c r="A5" s="37"/>
      <c r="B5" s="38"/>
      <c r="C5" s="39" t="s">
        <v>26</v>
      </c>
      <c r="D5" s="13" t="s">
        <v>27</v>
      </c>
      <c r="E5" s="13" t="s">
        <v>28</v>
      </c>
      <c r="F5" s="13" t="s">
        <v>29</v>
      </c>
      <c r="G5" s="33">
        <f t="shared" si="0"/>
        <v>2</v>
      </c>
      <c r="H5" s="32" t="s">
        <v>30</v>
      </c>
      <c r="I5" s="40" t="s">
        <v>31</v>
      </c>
      <c r="J5" s="41" t="s">
        <v>32</v>
      </c>
      <c r="K5" s="42"/>
      <c r="L5" s="17">
        <v>46147</v>
      </c>
      <c r="M5" s="17"/>
    </row>
    <row r="6" ht="67.65" customHeight="1" spans="1:13">
      <c r="A6" s="37"/>
      <c r="B6" s="38"/>
      <c r="C6" s="39" t="s">
        <v>33</v>
      </c>
      <c r="D6" s="13" t="s">
        <v>34</v>
      </c>
      <c r="E6" s="20" t="s">
        <v>35</v>
      </c>
      <c r="F6" s="32" t="s">
        <v>36</v>
      </c>
      <c r="G6" s="33">
        <f t="shared" si="0"/>
        <v>3</v>
      </c>
      <c r="H6" s="13" t="s">
        <v>37</v>
      </c>
      <c r="I6" s="14" t="s">
        <v>38</v>
      </c>
      <c r="J6" s="35" t="s">
        <v>39</v>
      </c>
      <c r="K6" s="43"/>
      <c r="L6" s="17">
        <v>46147</v>
      </c>
      <c r="M6" s="17"/>
    </row>
    <row r="7" ht="67.65" customHeight="1" spans="1:13">
      <c r="A7" s="37"/>
      <c r="B7" s="38"/>
      <c r="C7" s="13" t="s">
        <v>40</v>
      </c>
      <c r="D7" s="13"/>
      <c r="E7" s="20"/>
      <c r="F7" s="32"/>
      <c r="G7" s="33">
        <f t="shared" si="0"/>
        <v>4</v>
      </c>
      <c r="H7" s="13" t="s">
        <v>41</v>
      </c>
      <c r="I7" s="14" t="s">
        <v>42</v>
      </c>
      <c r="J7" s="35" t="s">
        <v>43</v>
      </c>
      <c r="K7" s="43"/>
      <c r="L7" s="17">
        <v>46147</v>
      </c>
      <c r="M7" s="17"/>
    </row>
    <row r="8" ht="67.65" customHeight="1" spans="1:13">
      <c r="A8" s="37"/>
      <c r="B8" s="38"/>
      <c r="C8" s="39" t="s">
        <v>44</v>
      </c>
      <c r="D8" s="13" t="s">
        <v>45</v>
      </c>
      <c r="E8" s="13" t="s">
        <v>46</v>
      </c>
      <c r="F8" s="37"/>
      <c r="G8" s="33">
        <f t="shared" si="0"/>
        <v>5</v>
      </c>
      <c r="H8" s="13" t="s">
        <v>47</v>
      </c>
      <c r="I8" s="44" t="s">
        <v>48</v>
      </c>
      <c r="J8" s="35" t="s">
        <v>49</v>
      </c>
      <c r="K8" s="45"/>
      <c r="L8" s="17">
        <v>46147</v>
      </c>
      <c r="M8" s="17"/>
    </row>
    <row r="9" ht="67.65" customHeight="1" spans="1:13">
      <c r="A9" s="37"/>
      <c r="B9" s="38"/>
      <c r="C9" s="46" t="s">
        <v>50</v>
      </c>
      <c r="D9" s="13" t="s">
        <v>51</v>
      </c>
      <c r="E9" s="47" t="s">
        <v>52</v>
      </c>
      <c r="F9" s="13" t="s">
        <v>53</v>
      </c>
      <c r="G9" s="33">
        <f t="shared" si="0"/>
        <v>6</v>
      </c>
      <c r="H9" s="48" t="s">
        <v>54</v>
      </c>
      <c r="I9" s="49" t="s">
        <v>55</v>
      </c>
      <c r="J9" s="50" t="s">
        <v>56</v>
      </c>
      <c r="K9" s="51"/>
      <c r="L9" s="17">
        <v>46147</v>
      </c>
      <c r="M9" s="17"/>
    </row>
    <row r="10" ht="67.65" customHeight="1" spans="1:13">
      <c r="A10" s="37"/>
      <c r="B10" s="38"/>
      <c r="C10" s="35" t="s">
        <v>57</v>
      </c>
      <c r="D10" s="13" t="s">
        <v>58</v>
      </c>
      <c r="E10" s="43" t="s">
        <v>59</v>
      </c>
      <c r="F10" s="13" t="s">
        <v>60</v>
      </c>
      <c r="G10" s="33">
        <f t="shared" si="0"/>
        <v>7</v>
      </c>
      <c r="H10" s="13" t="s">
        <v>61</v>
      </c>
      <c r="I10" s="34" t="s">
        <v>62</v>
      </c>
      <c r="J10" s="35" t="s">
        <v>63</v>
      </c>
      <c r="K10" s="52"/>
      <c r="L10" s="17">
        <v>46147</v>
      </c>
      <c r="M10" s="53"/>
    </row>
    <row r="11" ht="67.65" customHeight="1" spans="1:13">
      <c r="A11" s="37"/>
      <c r="B11" s="38"/>
      <c r="C11" s="35" t="s">
        <v>64</v>
      </c>
      <c r="D11" s="43" t="s">
        <v>65</v>
      </c>
      <c r="E11" s="43" t="s">
        <v>66</v>
      </c>
      <c r="F11" s="13" t="s">
        <v>67</v>
      </c>
      <c r="G11" s="33">
        <f t="shared" si="0"/>
        <v>8</v>
      </c>
      <c r="H11" s="13" t="s">
        <v>68</v>
      </c>
      <c r="I11" s="34" t="s">
        <v>69</v>
      </c>
      <c r="J11" s="35" t="s">
        <v>70</v>
      </c>
      <c r="K11" s="52"/>
      <c r="L11" s="17">
        <v>46147</v>
      </c>
      <c r="M11" s="53"/>
    </row>
    <row r="12" ht="67.65" customHeight="1" spans="1:13">
      <c r="A12" s="37"/>
      <c r="B12" s="38"/>
      <c r="C12" s="54" t="s">
        <v>71</v>
      </c>
      <c r="D12" s="32" t="s">
        <v>72</v>
      </c>
      <c r="E12" s="52" t="s">
        <v>73</v>
      </c>
      <c r="F12" s="32" t="s">
        <v>74</v>
      </c>
      <c r="G12" s="55">
        <f t="shared" si="0"/>
        <v>9</v>
      </c>
      <c r="H12" s="32" t="s">
        <v>75</v>
      </c>
      <c r="I12" s="40" t="s">
        <v>76</v>
      </c>
      <c r="J12" s="54" t="s">
        <v>77</v>
      </c>
      <c r="K12" s="42"/>
      <c r="L12" s="17">
        <v>46147</v>
      </c>
      <c r="M12" s="53"/>
    </row>
    <row r="13" ht="48.9" customHeight="1" spans="1:13">
      <c r="A13" s="37"/>
      <c r="B13" s="31" t="s">
        <v>78</v>
      </c>
      <c r="C13" s="56" t="s">
        <v>79</v>
      </c>
      <c r="D13" s="20"/>
      <c r="E13" s="20"/>
      <c r="F13" s="57" t="s">
        <v>80</v>
      </c>
      <c r="G13" s="57">
        <v>1</v>
      </c>
      <c r="H13" s="57" t="s">
        <v>81</v>
      </c>
      <c r="I13" s="58" t="s">
        <v>82</v>
      </c>
      <c r="J13" s="57" t="s">
        <v>83</v>
      </c>
      <c r="K13" s="36" t="s">
        <v>84</v>
      </c>
      <c r="L13" s="17">
        <v>46142</v>
      </c>
      <c r="M13" s="17">
        <v>46157</v>
      </c>
    </row>
    <row r="14" ht="49.8" customHeight="1" spans="1:13">
      <c r="A14" s="37"/>
      <c r="B14" s="38"/>
      <c r="C14" s="56" t="s">
        <v>85</v>
      </c>
      <c r="D14" s="20"/>
      <c r="E14" s="20"/>
      <c r="F14" s="57" t="s">
        <v>86</v>
      </c>
      <c r="G14" s="57">
        <v>2</v>
      </c>
      <c r="H14" s="57" t="s">
        <v>87</v>
      </c>
      <c r="I14" s="58" t="s">
        <v>88</v>
      </c>
      <c r="J14" s="16" t="s">
        <v>89</v>
      </c>
      <c r="K14" s="36" t="s">
        <v>90</v>
      </c>
      <c r="L14" s="17">
        <v>46157</v>
      </c>
      <c r="M14" s="17"/>
    </row>
    <row r="15" ht="37.65" customHeight="1" spans="1:13">
      <c r="A15" s="37"/>
      <c r="B15" s="38"/>
      <c r="C15" s="56" t="s">
        <v>91</v>
      </c>
      <c r="D15" s="20"/>
      <c r="E15" s="20"/>
      <c r="F15" s="57" t="s">
        <v>86</v>
      </c>
      <c r="G15" s="57">
        <v>3</v>
      </c>
      <c r="H15" s="57" t="s">
        <v>92</v>
      </c>
      <c r="I15" s="58" t="s">
        <v>93</v>
      </c>
      <c r="J15" s="16" t="s">
        <v>89</v>
      </c>
      <c r="K15" s="36" t="s">
        <v>90</v>
      </c>
      <c r="L15" s="17">
        <v>46157</v>
      </c>
      <c r="M15" s="17"/>
    </row>
    <row r="16" ht="37.65" customHeight="1" spans="1:13">
      <c r="A16" s="37"/>
      <c r="B16" s="38"/>
      <c r="C16" s="56" t="s">
        <v>94</v>
      </c>
      <c r="D16" s="20"/>
      <c r="E16" s="20"/>
      <c r="F16" s="57" t="s">
        <v>95</v>
      </c>
      <c r="G16" s="57">
        <v>4</v>
      </c>
      <c r="H16" s="57" t="s">
        <v>96</v>
      </c>
      <c r="I16" s="58" t="s">
        <v>97</v>
      </c>
      <c r="J16" s="16" t="s">
        <v>98</v>
      </c>
      <c r="K16" s="36" t="s">
        <v>99</v>
      </c>
      <c r="L16" s="17" t="s">
        <v>100</v>
      </c>
      <c r="M16" s="17"/>
    </row>
    <row r="17" ht="55.3" customHeight="1" spans="1:13">
      <c r="A17" s="37"/>
      <c r="B17" s="59" t="s">
        <v>101</v>
      </c>
      <c r="C17" s="60" t="s">
        <v>102</v>
      </c>
      <c r="D17" s="16"/>
      <c r="E17" s="16"/>
      <c r="F17" s="60" t="s">
        <v>103</v>
      </c>
      <c r="G17" s="16">
        <v>1</v>
      </c>
      <c r="H17" s="61" t="s">
        <v>104</v>
      </c>
      <c r="I17" s="44" t="s">
        <v>105</v>
      </c>
      <c r="J17" s="16" t="s">
        <v>106</v>
      </c>
      <c r="K17" s="16"/>
      <c r="L17" s="17">
        <v>46147</v>
      </c>
      <c r="M17" s="17"/>
    </row>
    <row r="18" ht="61.55" customHeight="1" spans="1:13">
      <c r="A18" s="37"/>
      <c r="B18" s="37"/>
      <c r="C18" s="60"/>
      <c r="D18" s="16"/>
      <c r="E18" s="16"/>
      <c r="F18" s="37"/>
      <c r="G18" s="16">
        <v>2</v>
      </c>
      <c r="H18" s="61" t="s">
        <v>107</v>
      </c>
      <c r="I18" s="44" t="s">
        <v>108</v>
      </c>
      <c r="J18" s="16" t="s">
        <v>109</v>
      </c>
      <c r="K18" s="16"/>
      <c r="L18" s="17">
        <v>46147</v>
      </c>
      <c r="M18" s="17"/>
    </row>
    <row r="19" ht="50.3" customHeight="1" spans="1:13">
      <c r="A19" s="37"/>
      <c r="B19" s="37"/>
      <c r="C19" s="60"/>
      <c r="D19" s="16"/>
      <c r="E19" s="16"/>
      <c r="F19" s="37"/>
      <c r="G19" s="16">
        <v>3</v>
      </c>
      <c r="H19" s="62" t="s">
        <v>110</v>
      </c>
      <c r="I19" s="44" t="s">
        <v>111</v>
      </c>
      <c r="J19" s="16" t="s">
        <v>112</v>
      </c>
      <c r="K19" s="16"/>
      <c r="L19" s="17">
        <v>46147</v>
      </c>
      <c r="M19" s="17"/>
    </row>
    <row r="20" ht="58.75" customHeight="1" spans="1:13">
      <c r="A20" s="37"/>
      <c r="B20" s="37"/>
      <c r="C20" s="37"/>
      <c r="D20" s="16"/>
      <c r="E20" s="16"/>
      <c r="F20" s="60" t="s">
        <v>113</v>
      </c>
      <c r="G20" s="16">
        <v>4</v>
      </c>
      <c r="H20" s="16" t="s">
        <v>114</v>
      </c>
      <c r="I20" s="44" t="s">
        <v>115</v>
      </c>
      <c r="J20" s="13" t="s">
        <v>116</v>
      </c>
      <c r="K20" s="16"/>
      <c r="L20" s="17">
        <v>46147</v>
      </c>
      <c r="M20" s="17"/>
    </row>
    <row r="21" ht="55" customHeight="1" spans="1:13">
      <c r="A21" s="37"/>
      <c r="B21" s="37"/>
      <c r="C21" s="37"/>
      <c r="D21" s="16"/>
      <c r="E21" s="16"/>
      <c r="F21" s="37"/>
      <c r="G21" s="16">
        <v>5</v>
      </c>
      <c r="H21" s="16" t="s">
        <v>117</v>
      </c>
      <c r="I21" s="44" t="s">
        <v>118</v>
      </c>
      <c r="J21" s="16" t="s">
        <v>119</v>
      </c>
      <c r="K21" s="16"/>
      <c r="L21" s="17">
        <v>46147</v>
      </c>
      <c r="M21" s="17"/>
    </row>
    <row r="22" ht="60" customHeight="1" spans="1:13">
      <c r="A22" s="37"/>
      <c r="B22" s="37"/>
      <c r="C22" s="37"/>
      <c r="D22" s="16"/>
      <c r="E22" s="16"/>
      <c r="F22" s="37"/>
      <c r="G22" s="16">
        <v>6</v>
      </c>
      <c r="H22" s="16" t="s">
        <v>120</v>
      </c>
      <c r="I22" s="44" t="s">
        <v>121</v>
      </c>
      <c r="J22" s="16" t="s">
        <v>122</v>
      </c>
      <c r="K22" s="63"/>
      <c r="L22" s="17">
        <v>46147</v>
      </c>
      <c r="M22" s="17"/>
    </row>
    <row r="23" ht="61.4" customHeight="1" spans="1:13">
      <c r="A23" s="37"/>
      <c r="B23" s="37"/>
      <c r="C23" s="64"/>
      <c r="D23" s="16"/>
      <c r="E23" s="16"/>
      <c r="F23" s="16" t="s">
        <v>123</v>
      </c>
      <c r="G23" s="16">
        <v>7</v>
      </c>
      <c r="H23" s="16" t="s">
        <v>124</v>
      </c>
      <c r="I23" s="44" t="s">
        <v>125</v>
      </c>
      <c r="J23" s="16" t="s">
        <v>126</v>
      </c>
      <c r="K23" s="16"/>
      <c r="L23" s="17">
        <v>46147</v>
      </c>
      <c r="M23" s="17"/>
    </row>
    <row r="24" ht="62.65" customHeight="1" spans="1:13">
      <c r="A24" s="37"/>
      <c r="B24" s="37"/>
      <c r="C24" s="60" t="s">
        <v>127</v>
      </c>
      <c r="D24" s="16"/>
      <c r="E24" s="16"/>
      <c r="F24" s="16" t="s">
        <v>128</v>
      </c>
      <c r="G24" s="16">
        <v>8</v>
      </c>
      <c r="H24" s="16" t="s">
        <v>129</v>
      </c>
      <c r="I24" s="44" t="s">
        <v>130</v>
      </c>
      <c r="J24" s="13" t="s">
        <v>131</v>
      </c>
      <c r="K24" s="16"/>
      <c r="L24" s="17">
        <v>46147</v>
      </c>
      <c r="M24" s="17"/>
    </row>
    <row r="25" ht="41.25" customHeight="1" spans="1:13">
      <c r="A25" s="37"/>
      <c r="B25" s="37"/>
      <c r="C25" s="37"/>
      <c r="D25" s="16"/>
      <c r="E25" s="16"/>
      <c r="F25" s="60" t="s">
        <v>132</v>
      </c>
      <c r="G25" s="60">
        <v>9</v>
      </c>
      <c r="H25" s="60" t="s">
        <v>133</v>
      </c>
      <c r="I25" s="65" t="s">
        <v>134</v>
      </c>
      <c r="J25" s="32" t="s">
        <v>135</v>
      </c>
      <c r="K25" s="16"/>
      <c r="L25" s="17">
        <v>46147</v>
      </c>
      <c r="M25" s="17"/>
    </row>
    <row r="26" ht="37.65" customHeight="1" spans="1:13">
      <c r="A26" s="37"/>
      <c r="B26" s="37"/>
      <c r="C26" s="37"/>
      <c r="D26" s="16"/>
      <c r="E26" s="16"/>
      <c r="F26" s="37"/>
      <c r="G26" s="37"/>
      <c r="H26" s="37"/>
      <c r="I26" s="44" t="s">
        <v>136</v>
      </c>
      <c r="J26" s="66"/>
      <c r="K26" s="16"/>
      <c r="L26" s="17">
        <v>46147</v>
      </c>
      <c r="M26" s="17"/>
    </row>
    <row r="27" ht="37.65" customHeight="1" spans="1:13">
      <c r="A27" s="37"/>
      <c r="B27" s="37"/>
      <c r="C27" s="37"/>
      <c r="D27" s="16"/>
      <c r="E27" s="16"/>
      <c r="F27" s="64"/>
      <c r="G27" s="64"/>
      <c r="H27" s="64"/>
      <c r="I27" s="44" t="s">
        <v>137</v>
      </c>
      <c r="J27" s="67"/>
      <c r="K27" s="16"/>
      <c r="L27" s="17">
        <v>46147</v>
      </c>
      <c r="M27" s="17"/>
    </row>
    <row r="28" ht="37.65" customHeight="1" spans="1:13">
      <c r="A28" s="37"/>
      <c r="B28" s="37"/>
      <c r="C28" s="37"/>
      <c r="D28" s="16"/>
      <c r="E28" s="16"/>
      <c r="F28" s="60" t="s">
        <v>138</v>
      </c>
      <c r="G28" s="60">
        <v>10</v>
      </c>
      <c r="H28" s="60" t="s">
        <v>139</v>
      </c>
      <c r="I28" s="44" t="s">
        <v>140</v>
      </c>
      <c r="J28" s="32" t="s">
        <v>141</v>
      </c>
      <c r="K28" s="16"/>
      <c r="L28" s="17">
        <v>46147</v>
      </c>
      <c r="M28" s="17"/>
    </row>
    <row r="29" ht="69.95" customHeight="1" spans="1:13">
      <c r="A29" s="37"/>
      <c r="B29" s="37"/>
      <c r="C29" s="37"/>
      <c r="D29" s="16"/>
      <c r="E29" s="16"/>
      <c r="F29" s="60" t="s">
        <v>142</v>
      </c>
      <c r="G29" s="60">
        <v>11</v>
      </c>
      <c r="H29" s="32" t="s">
        <v>143</v>
      </c>
      <c r="I29" s="44" t="s">
        <v>144</v>
      </c>
      <c r="J29" s="32" t="s">
        <v>145</v>
      </c>
      <c r="K29" s="16"/>
      <c r="L29" s="17">
        <v>46147</v>
      </c>
      <c r="M29" s="17"/>
    </row>
    <row r="30" ht="37.65" customHeight="1" spans="1:13">
      <c r="A30" s="37"/>
      <c r="B30" s="37"/>
      <c r="C30" s="37"/>
      <c r="D30" s="16"/>
      <c r="E30" s="16"/>
      <c r="F30" s="60" t="s">
        <v>146</v>
      </c>
      <c r="G30" s="60">
        <v>12</v>
      </c>
      <c r="H30" s="60" t="s">
        <v>146</v>
      </c>
      <c r="I30" s="44" t="s">
        <v>147</v>
      </c>
      <c r="J30" s="32" t="s">
        <v>148</v>
      </c>
      <c r="K30" s="16"/>
      <c r="L30" s="17">
        <v>46147</v>
      </c>
      <c r="M30" s="17"/>
    </row>
    <row r="31" ht="37.65" customHeight="1" spans="1:13">
      <c r="A31" s="37"/>
      <c r="B31" s="37"/>
      <c r="C31" s="37"/>
      <c r="D31" s="16"/>
      <c r="E31" s="16"/>
      <c r="F31" s="60" t="s">
        <v>149</v>
      </c>
      <c r="G31" s="60">
        <v>13</v>
      </c>
      <c r="H31" s="60" t="s">
        <v>150</v>
      </c>
      <c r="I31" s="44" t="s">
        <v>151</v>
      </c>
      <c r="J31" s="32" t="s">
        <v>152</v>
      </c>
      <c r="K31" s="16"/>
      <c r="L31" s="17">
        <v>46147</v>
      </c>
      <c r="M31" s="17"/>
    </row>
    <row r="32" ht="37.65" customHeight="1" spans="1:13">
      <c r="A32" s="37"/>
      <c r="B32" s="37"/>
      <c r="C32" s="60" t="s">
        <v>153</v>
      </c>
      <c r="D32" s="16"/>
      <c r="E32" s="16"/>
      <c r="F32" s="60" t="s">
        <v>154</v>
      </c>
      <c r="G32" s="60">
        <v>14</v>
      </c>
      <c r="H32" s="60" t="s">
        <v>155</v>
      </c>
      <c r="I32" s="44" t="s">
        <v>156</v>
      </c>
      <c r="J32" s="32" t="s">
        <v>157</v>
      </c>
      <c r="K32" s="16"/>
      <c r="L32" s="17">
        <v>46147</v>
      </c>
      <c r="M32" s="17"/>
    </row>
    <row r="33" ht="45" spans="1:13">
      <c r="A33" s="37"/>
      <c r="B33" s="37"/>
      <c r="C33" s="37"/>
      <c r="D33" s="16"/>
      <c r="E33" s="16"/>
      <c r="F33" s="60" t="s">
        <v>158</v>
      </c>
      <c r="G33" s="60">
        <v>15</v>
      </c>
      <c r="H33" s="60" t="s">
        <v>159</v>
      </c>
      <c r="I33" s="44" t="s">
        <v>160</v>
      </c>
      <c r="J33" s="32" t="s">
        <v>161</v>
      </c>
      <c r="K33" s="16"/>
      <c r="L33" s="17">
        <v>46147</v>
      </c>
      <c r="M33" s="17"/>
    </row>
    <row r="34" ht="37.65" customHeight="1" spans="1:13">
      <c r="A34" s="37"/>
      <c r="B34" s="37"/>
      <c r="C34" s="37"/>
      <c r="D34" s="16"/>
      <c r="E34" s="16"/>
      <c r="F34" s="60" t="s">
        <v>162</v>
      </c>
      <c r="G34" s="60">
        <v>16</v>
      </c>
      <c r="H34" s="60" t="s">
        <v>163</v>
      </c>
      <c r="I34" s="44" t="s">
        <v>164</v>
      </c>
      <c r="J34" s="32" t="s">
        <v>165</v>
      </c>
      <c r="K34" s="16"/>
      <c r="L34" s="17">
        <v>46147</v>
      </c>
      <c r="M34" s="17"/>
    </row>
    <row r="35" ht="37.65" customHeight="1" spans="1:13">
      <c r="A35" s="37"/>
      <c r="B35" s="37"/>
      <c r="C35" s="60" t="s">
        <v>166</v>
      </c>
      <c r="D35" s="16"/>
      <c r="E35" s="16"/>
      <c r="F35" s="60" t="s">
        <v>167</v>
      </c>
      <c r="G35" s="60">
        <v>17</v>
      </c>
      <c r="H35" s="60" t="s">
        <v>168</v>
      </c>
      <c r="I35" s="44" t="s">
        <v>169</v>
      </c>
      <c r="J35" s="32" t="s">
        <v>170</v>
      </c>
      <c r="K35" s="16"/>
      <c r="L35" s="17">
        <v>46147</v>
      </c>
      <c r="M35" s="17"/>
    </row>
    <row r="36" ht="37.65" customHeight="1" spans="1:13">
      <c r="A36" s="37"/>
      <c r="B36" s="68" t="s">
        <v>171</v>
      </c>
      <c r="C36" s="60" t="s">
        <v>172</v>
      </c>
      <c r="D36" s="16"/>
      <c r="E36" s="16"/>
      <c r="F36" s="13" t="s">
        <v>173</v>
      </c>
      <c r="G36" s="16">
        <v>1</v>
      </c>
      <c r="H36" s="69" t="s">
        <v>174</v>
      </c>
      <c r="I36" s="70" t="s">
        <v>175</v>
      </c>
      <c r="J36" s="69" t="s">
        <v>176</v>
      </c>
      <c r="K36" s="69" t="s">
        <v>177</v>
      </c>
      <c r="L36" s="71">
        <v>46147</v>
      </c>
      <c r="M36" s="71">
        <v>46203</v>
      </c>
    </row>
    <row r="37" ht="37.65" customHeight="1" spans="1:13">
      <c r="A37" s="37"/>
      <c r="B37" s="37"/>
      <c r="C37" s="37"/>
      <c r="D37" s="16"/>
      <c r="E37" s="16"/>
      <c r="F37" s="60" t="s">
        <v>178</v>
      </c>
      <c r="G37" s="16">
        <v>2</v>
      </c>
      <c r="H37" s="72" t="s">
        <v>179</v>
      </c>
      <c r="I37" s="70" t="s">
        <v>180</v>
      </c>
      <c r="J37" s="73" t="s">
        <v>181</v>
      </c>
      <c r="K37" s="69" t="s">
        <v>182</v>
      </c>
      <c r="L37" s="71">
        <v>46147</v>
      </c>
      <c r="M37" s="71">
        <v>46172</v>
      </c>
    </row>
    <row r="38" ht="37.65" customHeight="1" spans="1:13">
      <c r="A38" s="37"/>
      <c r="B38" s="37"/>
      <c r="C38" s="37"/>
      <c r="D38" s="16"/>
      <c r="E38" s="16"/>
      <c r="F38" s="64"/>
      <c r="G38" s="16">
        <v>3</v>
      </c>
      <c r="H38" s="72" t="s">
        <v>183</v>
      </c>
      <c r="I38" s="70" t="s">
        <v>184</v>
      </c>
      <c r="J38" s="73" t="s">
        <v>185</v>
      </c>
      <c r="K38" s="69" t="s">
        <v>182</v>
      </c>
      <c r="L38" s="71">
        <v>46185</v>
      </c>
      <c r="M38" s="71">
        <v>46172</v>
      </c>
    </row>
    <row r="39" ht="37.65" customHeight="1" spans="1:13">
      <c r="A39" s="37"/>
      <c r="B39" s="37"/>
      <c r="C39" s="37"/>
      <c r="D39" s="16"/>
      <c r="E39" s="16"/>
      <c r="F39" s="60" t="s">
        <v>186</v>
      </c>
      <c r="G39" s="16">
        <v>4</v>
      </c>
      <c r="H39" s="72" t="s">
        <v>187</v>
      </c>
      <c r="I39" s="70" t="s">
        <v>188</v>
      </c>
      <c r="J39" s="73" t="s">
        <v>189</v>
      </c>
      <c r="K39" s="69" t="s">
        <v>182</v>
      </c>
      <c r="L39" s="71">
        <v>46180</v>
      </c>
      <c r="M39" s="71">
        <v>46172</v>
      </c>
    </row>
    <row r="40" ht="37.65" customHeight="1" spans="1:13">
      <c r="A40" s="37"/>
      <c r="B40" s="37"/>
      <c r="C40" s="37"/>
      <c r="D40" s="16"/>
      <c r="E40" s="16"/>
      <c r="F40" s="64"/>
      <c r="G40" s="16">
        <v>5</v>
      </c>
      <c r="H40" s="72" t="s">
        <v>190</v>
      </c>
      <c r="I40" s="70" t="s">
        <v>191</v>
      </c>
      <c r="J40" s="73" t="s">
        <v>192</v>
      </c>
      <c r="K40" s="69" t="s">
        <v>182</v>
      </c>
      <c r="L40" s="71">
        <v>46180</v>
      </c>
      <c r="M40" s="71">
        <v>46172</v>
      </c>
    </row>
    <row r="41" ht="37.65" customHeight="1" spans="1:13">
      <c r="A41" s="37"/>
      <c r="B41" s="37"/>
      <c r="C41" s="37"/>
      <c r="D41" s="16"/>
      <c r="E41" s="16"/>
      <c r="F41" s="32" t="s">
        <v>193</v>
      </c>
      <c r="G41" s="16">
        <v>6</v>
      </c>
      <c r="H41" s="72" t="s">
        <v>194</v>
      </c>
      <c r="I41" s="70" t="s">
        <v>195</v>
      </c>
      <c r="J41" s="73" t="s">
        <v>196</v>
      </c>
      <c r="K41" s="69" t="s">
        <v>197</v>
      </c>
      <c r="L41" s="71">
        <v>46147</v>
      </c>
      <c r="M41" s="71">
        <v>46172</v>
      </c>
    </row>
    <row r="42" ht="37.65" customHeight="1" spans="1:13">
      <c r="A42" s="37"/>
      <c r="B42" s="37"/>
      <c r="C42" s="37"/>
      <c r="D42" s="16"/>
      <c r="E42" s="16"/>
      <c r="F42" s="32" t="s">
        <v>198</v>
      </c>
      <c r="G42" s="16">
        <v>8</v>
      </c>
      <c r="H42" s="74" t="s">
        <v>199</v>
      </c>
      <c r="I42" s="70" t="s">
        <v>200</v>
      </c>
      <c r="J42" s="73" t="s">
        <v>201</v>
      </c>
      <c r="K42" s="69" t="s">
        <v>202</v>
      </c>
      <c r="L42" s="71">
        <v>46147</v>
      </c>
      <c r="M42" s="71">
        <v>46172</v>
      </c>
    </row>
    <row r="43" ht="37.65" customHeight="1" spans="1:13">
      <c r="A43" s="37"/>
      <c r="B43" s="37"/>
      <c r="C43" s="37"/>
      <c r="D43" s="16"/>
      <c r="E43" s="16"/>
      <c r="F43" s="64"/>
      <c r="G43" s="16">
        <v>9</v>
      </c>
      <c r="H43" s="74" t="s">
        <v>203</v>
      </c>
      <c r="I43" s="75" t="s">
        <v>204</v>
      </c>
      <c r="J43" s="73" t="s">
        <v>205</v>
      </c>
      <c r="K43" s="69" t="s">
        <v>202</v>
      </c>
      <c r="L43" s="71">
        <v>46180</v>
      </c>
      <c r="M43" s="71">
        <v>46172</v>
      </c>
    </row>
    <row r="44" ht="37.65" customHeight="1" spans="1:13">
      <c r="A44" s="37"/>
      <c r="B44" s="37"/>
      <c r="C44" s="37"/>
      <c r="D44" s="16"/>
      <c r="E44" s="16"/>
      <c r="F44" s="13"/>
      <c r="G44" s="16">
        <v>10</v>
      </c>
      <c r="H44" s="74" t="s">
        <v>206</v>
      </c>
      <c r="I44" s="75" t="s">
        <v>207</v>
      </c>
      <c r="J44" s="73" t="s">
        <v>208</v>
      </c>
      <c r="K44" s="69" t="s">
        <v>209</v>
      </c>
      <c r="L44" s="71">
        <v>46241</v>
      </c>
      <c r="M44" s="71">
        <v>46203</v>
      </c>
    </row>
    <row r="45" ht="37.65" customHeight="1" spans="1:13">
      <c r="A45" s="37"/>
      <c r="B45" s="37"/>
      <c r="C45" s="37"/>
      <c r="D45" s="16"/>
      <c r="E45" s="16"/>
      <c r="F45" s="13"/>
      <c r="G45" s="16">
        <v>11</v>
      </c>
      <c r="H45" s="73" t="s">
        <v>210</v>
      </c>
      <c r="I45" s="76" t="s">
        <v>211</v>
      </c>
      <c r="J45" s="69" t="s">
        <v>212</v>
      </c>
      <c r="K45" s="69" t="s">
        <v>213</v>
      </c>
      <c r="L45" s="71">
        <v>46147</v>
      </c>
      <c r="M45" s="71">
        <v>46172</v>
      </c>
    </row>
    <row r="46" ht="37.65" customHeight="1" spans="1:13">
      <c r="A46" s="37"/>
      <c r="B46" s="37"/>
      <c r="C46" s="37"/>
      <c r="D46" s="16"/>
      <c r="E46" s="16"/>
      <c r="F46" s="13"/>
      <c r="G46" s="16">
        <v>12</v>
      </c>
      <c r="H46" s="69" t="s">
        <v>214</v>
      </c>
      <c r="I46" s="77" t="s">
        <v>215</v>
      </c>
      <c r="J46" s="78" t="s">
        <v>216</v>
      </c>
      <c r="K46" s="69" t="s">
        <v>217</v>
      </c>
      <c r="L46" s="71">
        <v>46147</v>
      </c>
      <c r="M46" s="71">
        <v>46203</v>
      </c>
    </row>
    <row r="47" ht="37.65" customHeight="1" spans="1:13">
      <c r="A47" s="37"/>
      <c r="B47" s="37"/>
      <c r="C47" s="37"/>
      <c r="D47" s="16"/>
      <c r="E47" s="16"/>
      <c r="F47" s="13"/>
      <c r="G47" s="16">
        <v>13</v>
      </c>
      <c r="H47" s="69" t="s">
        <v>218</v>
      </c>
      <c r="I47" s="75" t="s">
        <v>219</v>
      </c>
      <c r="J47" s="78" t="s">
        <v>220</v>
      </c>
      <c r="K47" s="69" t="s">
        <v>217</v>
      </c>
      <c r="L47" s="71">
        <v>46180</v>
      </c>
      <c r="M47" s="71">
        <v>46172</v>
      </c>
    </row>
    <row r="48" ht="37.65" customHeight="1" spans="1:13">
      <c r="A48" s="37"/>
      <c r="B48" s="37"/>
      <c r="C48" s="37"/>
      <c r="D48" s="16"/>
      <c r="E48" s="16"/>
      <c r="F48" s="13"/>
      <c r="G48" s="16">
        <v>14</v>
      </c>
      <c r="H48" s="69" t="s">
        <v>221</v>
      </c>
      <c r="I48" s="75" t="s">
        <v>222</v>
      </c>
      <c r="J48" s="78" t="s">
        <v>223</v>
      </c>
      <c r="K48" s="69" t="s">
        <v>224</v>
      </c>
      <c r="L48" s="71">
        <v>46147</v>
      </c>
      <c r="M48" s="71">
        <v>46172</v>
      </c>
    </row>
    <row r="49" ht="37.65" customHeight="1" spans="1:13">
      <c r="A49" s="37"/>
      <c r="B49" s="37"/>
      <c r="C49" s="37"/>
      <c r="D49" s="16"/>
      <c r="E49" s="16"/>
      <c r="F49" s="16"/>
      <c r="G49" s="16">
        <v>15</v>
      </c>
      <c r="H49" s="69" t="s">
        <v>225</v>
      </c>
      <c r="I49" s="75" t="s">
        <v>226</v>
      </c>
      <c r="J49" s="78" t="s">
        <v>227</v>
      </c>
      <c r="K49" s="69" t="s">
        <v>224</v>
      </c>
      <c r="L49" s="71">
        <v>46194</v>
      </c>
      <c r="M49" s="71">
        <v>46172</v>
      </c>
    </row>
    <row r="50" ht="37.65" customHeight="1" spans="1:13">
      <c r="A50" s="37"/>
      <c r="B50" s="37"/>
      <c r="C50" s="37"/>
      <c r="D50" s="16"/>
      <c r="E50" s="16"/>
      <c r="F50" s="16"/>
      <c r="G50" s="16">
        <v>16</v>
      </c>
      <c r="H50" s="69" t="s">
        <v>228</v>
      </c>
      <c r="I50" s="75" t="s">
        <v>229</v>
      </c>
      <c r="J50" s="78" t="s">
        <v>230</v>
      </c>
      <c r="K50" s="69" t="s">
        <v>231</v>
      </c>
      <c r="L50" s="71">
        <v>46204</v>
      </c>
      <c r="M50" s="71">
        <v>46172</v>
      </c>
    </row>
    <row r="51" ht="37.65" customHeight="1" spans="1:13">
      <c r="A51" s="37"/>
      <c r="B51" s="37"/>
      <c r="C51" s="37"/>
      <c r="D51" s="16"/>
      <c r="E51" s="16"/>
      <c r="F51" s="16"/>
      <c r="G51" s="16">
        <v>17</v>
      </c>
      <c r="H51" s="69" t="s">
        <v>232</v>
      </c>
      <c r="I51" s="75" t="s">
        <v>233</v>
      </c>
      <c r="J51" s="78" t="s">
        <v>234</v>
      </c>
      <c r="K51" s="69" t="s">
        <v>224</v>
      </c>
      <c r="L51" s="71">
        <v>46147</v>
      </c>
      <c r="M51" s="71">
        <v>46203</v>
      </c>
    </row>
    <row r="52" ht="37.65" customHeight="1" spans="1:13">
      <c r="A52" s="79"/>
      <c r="B52" s="16"/>
      <c r="C52" s="13"/>
      <c r="D52" s="16"/>
      <c r="E52" s="16"/>
      <c r="F52" s="16"/>
      <c r="G52" s="16"/>
      <c r="H52" s="16"/>
      <c r="I52" s="80"/>
      <c r="J52" s="16"/>
      <c r="K52" s="16"/>
      <c r="L52" s="17"/>
      <c r="M52" s="17"/>
    </row>
    <row r="53" ht="37.65" customHeight="1" spans="1:13">
      <c r="A53" s="79"/>
      <c r="B53" s="16"/>
      <c r="C53" s="13"/>
      <c r="D53" s="16"/>
      <c r="E53" s="16"/>
      <c r="F53" s="16"/>
      <c r="G53" s="16"/>
      <c r="H53" s="16"/>
      <c r="I53" s="80"/>
      <c r="J53" s="16"/>
      <c r="K53" s="16"/>
      <c r="L53" s="17"/>
      <c r="M53" s="17"/>
    </row>
    <row r="54" ht="37.65" customHeight="1" spans="1:13">
      <c r="A54" s="79"/>
      <c r="B54" s="16"/>
      <c r="C54" s="13"/>
      <c r="D54" s="16"/>
      <c r="E54" s="16"/>
      <c r="F54" s="16"/>
      <c r="G54" s="16"/>
      <c r="H54" s="16"/>
      <c r="I54" s="80"/>
      <c r="J54" s="16"/>
      <c r="K54" s="16"/>
      <c r="L54" s="17"/>
      <c r="M54" s="17"/>
    </row>
    <row r="55" ht="37.65" customHeight="1" spans="1:13">
      <c r="A55" s="79"/>
      <c r="B55" s="16"/>
      <c r="C55" s="13"/>
      <c r="D55" s="16"/>
      <c r="E55" s="16"/>
      <c r="F55" s="16"/>
      <c r="G55" s="16"/>
      <c r="H55" s="16"/>
      <c r="I55" s="80"/>
      <c r="J55" s="16"/>
      <c r="K55" s="16"/>
      <c r="L55" s="17"/>
      <c r="M55" s="17"/>
    </row>
    <row r="56" ht="37.65" customHeight="1" spans="1:13">
      <c r="A56" s="79"/>
      <c r="B56" s="16"/>
      <c r="C56" s="13"/>
      <c r="D56" s="16"/>
      <c r="E56" s="16"/>
      <c r="F56" s="16"/>
      <c r="G56" s="16"/>
      <c r="H56" s="16"/>
      <c r="I56" s="80"/>
      <c r="J56" s="16"/>
      <c r="K56" s="16"/>
      <c r="L56" s="17"/>
      <c r="M56" s="17"/>
    </row>
    <row r="57" ht="37.65" customHeight="1" spans="1:13">
      <c r="A57" s="79"/>
      <c r="B57" s="16"/>
      <c r="C57" s="13"/>
      <c r="D57" s="16"/>
      <c r="E57" s="16"/>
      <c r="F57" s="16"/>
      <c r="G57" s="16"/>
      <c r="H57" s="16"/>
      <c r="I57" s="80"/>
      <c r="J57" s="16"/>
      <c r="K57" s="16"/>
      <c r="L57" s="17"/>
      <c r="M57" s="17"/>
    </row>
    <row r="58" ht="37.65" customHeight="1" spans="1:13">
      <c r="A58" s="79"/>
      <c r="B58" s="16"/>
      <c r="C58" s="13"/>
      <c r="D58" s="16"/>
      <c r="E58" s="16"/>
      <c r="F58" s="16"/>
      <c r="G58" s="16"/>
      <c r="H58" s="16"/>
      <c r="I58" s="80"/>
      <c r="J58" s="16"/>
      <c r="K58" s="16"/>
      <c r="L58" s="17"/>
      <c r="M58" s="17"/>
    </row>
    <row r="59" ht="37.65" customHeight="1" spans="1:13">
      <c r="A59" s="79"/>
      <c r="B59" s="16"/>
      <c r="C59" s="13"/>
      <c r="D59" s="16"/>
      <c r="E59" s="16"/>
      <c r="F59" s="16"/>
      <c r="G59" s="16"/>
      <c r="H59" s="16"/>
      <c r="I59" s="80"/>
      <c r="J59" s="16"/>
      <c r="K59" s="16"/>
      <c r="L59" s="17"/>
      <c r="M59" s="17"/>
    </row>
    <row r="60" ht="37.65" customHeight="1" spans="1:13">
      <c r="A60" s="79"/>
      <c r="B60" s="16"/>
      <c r="C60" s="13"/>
      <c r="D60" s="16"/>
      <c r="E60" s="16"/>
      <c r="F60" s="16"/>
      <c r="G60" s="16"/>
      <c r="H60" s="16"/>
      <c r="I60" s="80"/>
      <c r="J60" s="16"/>
      <c r="K60" s="16"/>
      <c r="L60" s="17"/>
      <c r="M60" s="17"/>
    </row>
    <row r="61" ht="37.65" customHeight="1" spans="1:13">
      <c r="A61" s="79"/>
      <c r="B61" s="16"/>
      <c r="C61" s="13"/>
      <c r="D61" s="16"/>
      <c r="E61" s="16"/>
      <c r="F61" s="16"/>
      <c r="G61" s="16"/>
      <c r="H61" s="16"/>
      <c r="I61" s="80"/>
      <c r="J61" s="16"/>
      <c r="K61" s="16"/>
      <c r="L61" s="17"/>
      <c r="M61" s="17"/>
    </row>
    <row r="62" ht="37.65" customHeight="1" spans="1:13">
      <c r="A62" s="79"/>
      <c r="B62" s="16"/>
      <c r="C62" s="13"/>
      <c r="D62" s="16"/>
      <c r="E62" s="16"/>
      <c r="F62" s="16"/>
      <c r="G62" s="16"/>
      <c r="H62" s="16"/>
      <c r="I62" s="80"/>
      <c r="J62" s="81"/>
      <c r="K62" s="16"/>
      <c r="L62" s="17"/>
      <c r="M62" s="17"/>
    </row>
    <row r="63" ht="37.65" customHeight="1" spans="1:13">
      <c r="A63" s="79"/>
      <c r="B63" s="16"/>
      <c r="C63" s="13"/>
      <c r="D63" s="16"/>
      <c r="E63" s="16"/>
      <c r="F63" s="16"/>
      <c r="G63" s="16"/>
      <c r="H63" s="16"/>
      <c r="I63" s="80"/>
      <c r="J63" s="81"/>
      <c r="K63" s="16"/>
      <c r="L63" s="17"/>
      <c r="M63" s="17"/>
    </row>
    <row r="64" ht="37.65" customHeight="1" spans="1:13">
      <c r="A64" s="79"/>
      <c r="B64" s="16"/>
      <c r="C64" s="13"/>
      <c r="D64" s="16"/>
      <c r="E64" s="16"/>
      <c r="F64" s="16"/>
      <c r="G64" s="16"/>
      <c r="H64" s="16"/>
      <c r="I64" s="80"/>
      <c r="J64" s="81"/>
      <c r="K64" s="16"/>
      <c r="L64" s="17"/>
      <c r="M64" s="17"/>
    </row>
    <row r="65" ht="37.65" customHeight="1" spans="1:13">
      <c r="A65" s="79"/>
      <c r="B65" s="16"/>
      <c r="C65" s="16"/>
      <c r="D65" s="16"/>
      <c r="E65" s="16"/>
      <c r="F65" s="16"/>
      <c r="G65" s="16"/>
      <c r="H65" s="16"/>
      <c r="I65" s="80"/>
      <c r="J65" s="16"/>
      <c r="K65" s="16"/>
      <c r="L65" s="17"/>
      <c r="M65" s="17"/>
    </row>
    <row r="66" ht="37.65" customHeight="1" spans="1:13">
      <c r="A66" s="79"/>
      <c r="B66" s="16"/>
      <c r="C66" s="16"/>
      <c r="D66" s="16"/>
      <c r="E66" s="16"/>
      <c r="F66" s="16"/>
      <c r="G66" s="16"/>
      <c r="H66" s="16"/>
      <c r="I66" s="80"/>
      <c r="J66" s="81"/>
      <c r="K66" s="16"/>
      <c r="L66" s="17"/>
      <c r="M66" s="17"/>
    </row>
    <row r="67" ht="37.65" customHeight="1" spans="1:13">
      <c r="A67" s="79"/>
      <c r="B67" s="16"/>
      <c r="C67" s="16"/>
      <c r="D67" s="16"/>
      <c r="E67" s="16"/>
      <c r="F67" s="16"/>
      <c r="G67" s="16"/>
      <c r="H67" s="16"/>
      <c r="I67" s="80"/>
      <c r="J67" s="81"/>
      <c r="K67" s="16"/>
      <c r="L67" s="17"/>
      <c r="M67" s="17"/>
    </row>
    <row r="68" ht="37.65" customHeight="1" spans="1:13">
      <c r="A68" s="79"/>
      <c r="B68" s="16"/>
      <c r="C68" s="16"/>
      <c r="D68" s="16"/>
      <c r="E68" s="16"/>
      <c r="F68" s="16"/>
      <c r="G68" s="16"/>
      <c r="H68" s="16"/>
      <c r="I68" s="80"/>
      <c r="J68" s="16"/>
      <c r="K68" s="16"/>
      <c r="L68" s="17"/>
      <c r="M68" s="17"/>
    </row>
    <row r="69" ht="37.65" customHeight="1" spans="1:13">
      <c r="A69" s="79"/>
      <c r="B69" s="16"/>
      <c r="C69" s="16"/>
      <c r="D69" s="16"/>
      <c r="E69" s="16"/>
      <c r="F69" s="16"/>
      <c r="G69" s="16"/>
      <c r="H69" s="16"/>
      <c r="I69" s="80"/>
      <c r="J69" s="16"/>
      <c r="K69" s="16"/>
      <c r="L69" s="17"/>
      <c r="M69" s="17"/>
    </row>
    <row r="70" ht="37.65" customHeight="1" spans="1:13">
      <c r="A70" s="79"/>
      <c r="B70" s="16"/>
      <c r="C70" s="16"/>
      <c r="D70" s="16"/>
      <c r="E70" s="16"/>
      <c r="F70" s="16"/>
      <c r="G70" s="16"/>
      <c r="H70" s="16"/>
      <c r="I70" s="80"/>
      <c r="J70" s="16"/>
      <c r="K70" s="16"/>
      <c r="L70" s="17"/>
      <c r="M70" s="17"/>
    </row>
    <row r="71" ht="37.65" customHeight="1" spans="1:13">
      <c r="A71" s="79"/>
      <c r="B71" s="16"/>
      <c r="C71" s="16"/>
      <c r="D71" s="16"/>
      <c r="E71" s="16"/>
      <c r="F71" s="16"/>
      <c r="G71" s="16"/>
      <c r="H71" s="16"/>
      <c r="I71" s="80"/>
      <c r="J71" s="16"/>
      <c r="K71" s="16"/>
      <c r="L71" s="17"/>
      <c r="M71" s="17"/>
    </row>
    <row r="72" ht="37.65" customHeight="1" spans="1:13">
      <c r="A72" s="79"/>
      <c r="B72" s="16"/>
      <c r="C72" s="16"/>
      <c r="D72" s="16"/>
      <c r="E72" s="16"/>
      <c r="F72" s="16"/>
      <c r="G72" s="16"/>
      <c r="H72" s="16"/>
      <c r="I72" s="80"/>
      <c r="J72" s="16"/>
      <c r="K72" s="16"/>
      <c r="L72" s="17"/>
      <c r="M72" s="17"/>
    </row>
    <row r="73" ht="37.65" customHeight="1" spans="1:13">
      <c r="A73" s="79"/>
      <c r="B73" s="16"/>
      <c r="C73" s="16"/>
      <c r="D73" s="16"/>
      <c r="E73" s="16"/>
      <c r="F73" s="16"/>
      <c r="G73" s="16"/>
      <c r="H73" s="16"/>
      <c r="I73" s="80"/>
      <c r="J73" s="16"/>
      <c r="K73" s="16"/>
      <c r="L73" s="17"/>
      <c r="M73" s="17"/>
    </row>
    <row r="74" ht="37.65" customHeight="1" spans="1:13">
      <c r="A74" s="79"/>
      <c r="B74" s="16"/>
      <c r="C74" s="16"/>
      <c r="D74" s="16"/>
      <c r="E74" s="16"/>
      <c r="F74" s="16"/>
      <c r="G74" s="16"/>
      <c r="H74" s="16"/>
      <c r="I74" s="80"/>
      <c r="J74" s="16"/>
      <c r="K74" s="16"/>
      <c r="L74" s="17"/>
      <c r="M74" s="17"/>
    </row>
    <row r="75" ht="37.65" customHeight="1" spans="1:13">
      <c r="A75" s="79"/>
      <c r="B75" s="16"/>
      <c r="C75" s="16"/>
      <c r="D75" s="16"/>
      <c r="E75" s="16"/>
      <c r="F75" s="16"/>
      <c r="G75" s="16"/>
      <c r="H75" s="16"/>
      <c r="I75" s="80"/>
      <c r="J75" s="16"/>
      <c r="K75" s="16"/>
      <c r="L75" s="17"/>
      <c r="M75" s="17"/>
    </row>
    <row r="76" ht="37.65" customHeight="1" spans="1:13">
      <c r="A76" s="79"/>
      <c r="B76" s="16"/>
      <c r="C76" s="16"/>
      <c r="D76" s="16"/>
      <c r="E76" s="16"/>
      <c r="F76" s="16"/>
      <c r="G76" s="16"/>
      <c r="H76" s="16"/>
      <c r="I76" s="80"/>
      <c r="J76" s="16"/>
      <c r="K76" s="16"/>
      <c r="L76" s="17"/>
      <c r="M76" s="17"/>
    </row>
    <row r="77" ht="37.65" customHeight="1" spans="1:13">
      <c r="A77" s="79"/>
      <c r="B77" s="16"/>
      <c r="C77" s="16"/>
      <c r="D77" s="16"/>
      <c r="E77" s="16"/>
      <c r="F77" s="16"/>
      <c r="G77" s="16"/>
      <c r="H77" s="16"/>
      <c r="I77" s="80"/>
      <c r="J77" s="16"/>
      <c r="K77" s="16"/>
      <c r="L77" s="17"/>
      <c r="M77" s="17"/>
    </row>
    <row r="78" ht="37.65" customHeight="1" spans="1:13">
      <c r="A78" s="79"/>
      <c r="B78" s="16"/>
      <c r="C78" s="16"/>
      <c r="D78" s="16"/>
      <c r="E78" s="16"/>
      <c r="F78" s="16"/>
      <c r="G78" s="16"/>
      <c r="H78" s="16"/>
      <c r="I78" s="80"/>
      <c r="J78" s="16"/>
      <c r="K78" s="16"/>
      <c r="L78" s="16"/>
      <c r="M78" s="16"/>
    </row>
    <row r="79" ht="37.65" customHeight="1" spans="1:13">
      <c r="A79" s="79"/>
      <c r="B79" s="16"/>
      <c r="C79" s="16"/>
      <c r="D79" s="16"/>
      <c r="E79" s="16"/>
      <c r="F79" s="16"/>
      <c r="G79" s="16"/>
      <c r="H79" s="16"/>
      <c r="I79" s="80"/>
      <c r="J79" s="81"/>
      <c r="K79" s="16"/>
      <c r="L79" s="17"/>
      <c r="M79" s="17"/>
    </row>
    <row r="80" ht="37.65" customHeight="1" spans="1:13">
      <c r="A80" s="79"/>
      <c r="B80" s="16"/>
      <c r="C80" s="16"/>
      <c r="D80" s="16"/>
      <c r="E80" s="16"/>
      <c r="F80" s="16"/>
      <c r="G80" s="16"/>
      <c r="H80" s="16"/>
      <c r="I80" s="80"/>
      <c r="J80" s="81"/>
      <c r="K80" s="16"/>
      <c r="L80" s="17"/>
      <c r="M80" s="17"/>
    </row>
    <row r="81" ht="37.65" customHeight="1" spans="1:13">
      <c r="A81" s="79"/>
      <c r="B81" s="16"/>
      <c r="C81" s="16"/>
      <c r="D81" s="16"/>
      <c r="E81" s="16"/>
      <c r="F81" s="16"/>
      <c r="G81" s="16"/>
      <c r="H81" s="16"/>
      <c r="I81" s="80"/>
      <c r="J81" s="81"/>
      <c r="K81" s="16"/>
      <c r="L81" s="16"/>
      <c r="M81" s="17"/>
    </row>
    <row r="82" ht="37.65" customHeight="1" spans="1:13">
      <c r="A82" s="79"/>
      <c r="B82" s="16"/>
      <c r="C82" s="16"/>
      <c r="D82" s="16"/>
      <c r="E82" s="16"/>
      <c r="F82" s="16"/>
      <c r="G82" s="16"/>
      <c r="H82" s="16"/>
      <c r="I82" s="80"/>
      <c r="J82" s="81"/>
      <c r="K82" s="16"/>
      <c r="L82" s="16"/>
      <c r="M82" s="16"/>
    </row>
    <row r="83" ht="37.65" customHeight="1" spans="1:13">
      <c r="A83" s="79"/>
      <c r="B83" s="16"/>
      <c r="C83" s="16"/>
      <c r="D83" s="16"/>
      <c r="E83" s="16"/>
      <c r="F83" s="16"/>
      <c r="G83" s="16"/>
      <c r="H83" s="16"/>
      <c r="I83" s="80"/>
      <c r="J83" s="16"/>
      <c r="K83" s="16"/>
      <c r="L83" s="16"/>
      <c r="M83" s="16"/>
    </row>
    <row r="84" ht="37.65" customHeight="1" spans="1:13">
      <c r="A84" s="79"/>
      <c r="B84" s="16"/>
      <c r="C84" s="16"/>
      <c r="D84" s="16"/>
      <c r="E84" s="16"/>
      <c r="F84" s="16"/>
      <c r="G84" s="16"/>
      <c r="H84" s="16"/>
      <c r="I84" s="80"/>
      <c r="J84" s="16"/>
      <c r="K84" s="16"/>
      <c r="L84" s="16"/>
      <c r="M84" s="16"/>
    </row>
    <row r="85" ht="37.65" customHeight="1" spans="1:13">
      <c r="A85" s="79"/>
      <c r="B85" s="16"/>
      <c r="C85" s="16"/>
      <c r="D85" s="16"/>
      <c r="E85" s="16"/>
      <c r="F85" s="16"/>
      <c r="G85" s="16"/>
      <c r="H85" s="16"/>
      <c r="I85" s="80"/>
      <c r="J85" s="16"/>
      <c r="K85" s="16"/>
      <c r="L85" s="16"/>
      <c r="M85" s="16"/>
    </row>
    <row r="86" ht="37.65" customHeight="1" spans="1:13">
      <c r="A86" s="79"/>
      <c r="B86" s="16"/>
      <c r="C86" s="16"/>
      <c r="D86" s="16"/>
      <c r="E86" s="16"/>
      <c r="F86" s="16"/>
      <c r="G86" s="16"/>
      <c r="H86" s="16"/>
      <c r="I86" s="80"/>
      <c r="J86" s="16"/>
      <c r="K86" s="16"/>
      <c r="L86" s="17"/>
      <c r="M86" s="17"/>
    </row>
    <row r="87" ht="37.65" customHeight="1" spans="1:13">
      <c r="A87" s="79"/>
      <c r="B87" s="16"/>
      <c r="C87" s="16"/>
      <c r="D87" s="16"/>
      <c r="E87" s="16"/>
      <c r="F87" s="16"/>
      <c r="G87" s="16"/>
      <c r="H87" s="16"/>
      <c r="I87" s="80"/>
      <c r="J87" s="16"/>
      <c r="K87" s="16"/>
      <c r="L87" s="16"/>
      <c r="M87" s="16"/>
    </row>
    <row r="88" ht="37.65" customHeight="1" spans="1:13">
      <c r="A88" s="79"/>
      <c r="B88" s="16"/>
      <c r="C88" s="16"/>
      <c r="D88" s="16"/>
      <c r="E88" s="16"/>
      <c r="F88" s="16"/>
      <c r="G88" s="16"/>
      <c r="H88" s="16"/>
      <c r="I88" s="80"/>
      <c r="J88" s="16"/>
      <c r="K88" s="16"/>
      <c r="L88" s="16"/>
      <c r="M88" s="16"/>
    </row>
    <row r="89" ht="37.65" customHeight="1" spans="1:13">
      <c r="A89" s="79"/>
      <c r="B89" s="16"/>
      <c r="C89" s="16"/>
      <c r="D89" s="16"/>
      <c r="E89" s="16"/>
      <c r="F89" s="13"/>
      <c r="G89" s="16"/>
      <c r="H89" s="16"/>
      <c r="I89" s="80"/>
      <c r="J89" s="16"/>
      <c r="K89" s="16"/>
      <c r="L89" s="17"/>
      <c r="M89" s="17"/>
    </row>
    <row r="90" ht="37.65" customHeight="1" spans="1:13">
      <c r="A90" s="79"/>
      <c r="B90" s="16"/>
      <c r="C90" s="16"/>
      <c r="D90" s="16"/>
      <c r="E90" s="16"/>
      <c r="F90" s="13"/>
      <c r="G90" s="16"/>
      <c r="H90" s="16"/>
      <c r="I90" s="80"/>
      <c r="J90" s="16"/>
      <c r="K90" s="16"/>
      <c r="L90" s="16"/>
      <c r="M90" s="16"/>
    </row>
    <row r="91" ht="37.65" customHeight="1" spans="1:13">
      <c r="A91" s="79"/>
      <c r="B91" s="16"/>
      <c r="C91" s="16"/>
      <c r="D91" s="16"/>
      <c r="E91" s="16"/>
      <c r="F91" s="13"/>
      <c r="G91" s="16"/>
      <c r="H91" s="16"/>
      <c r="I91" s="80"/>
      <c r="J91" s="16"/>
      <c r="K91" s="16"/>
      <c r="L91" s="16"/>
      <c r="M91" s="16"/>
    </row>
    <row r="92" ht="37.65" customHeight="1" spans="1:13">
      <c r="A92" s="79"/>
      <c r="B92" s="16"/>
      <c r="C92" s="16"/>
      <c r="D92" s="16"/>
      <c r="E92" s="16"/>
      <c r="F92" s="16"/>
      <c r="G92" s="16"/>
      <c r="H92" s="16"/>
      <c r="I92" s="80"/>
      <c r="J92" s="16"/>
      <c r="K92" s="16"/>
      <c r="L92" s="17"/>
      <c r="M92" s="17"/>
    </row>
    <row r="93" ht="37.65" customHeight="1" spans="1:13">
      <c r="A93" s="79"/>
      <c r="B93" s="16"/>
      <c r="C93" s="16"/>
      <c r="D93" s="16"/>
      <c r="E93" s="16"/>
      <c r="F93" s="16"/>
      <c r="G93" s="16"/>
      <c r="H93" s="16"/>
      <c r="I93" s="80"/>
      <c r="J93" s="16"/>
      <c r="K93" s="16"/>
      <c r="L93" s="17"/>
      <c r="M93" s="17"/>
    </row>
    <row r="94" ht="37.65" customHeight="1" spans="1:13">
      <c r="A94" s="79"/>
      <c r="B94" s="16"/>
      <c r="C94" s="16"/>
      <c r="D94" s="16"/>
      <c r="E94" s="16"/>
      <c r="F94" s="16"/>
      <c r="G94" s="16"/>
      <c r="H94" s="16"/>
      <c r="I94" s="80"/>
      <c r="J94" s="16"/>
      <c r="K94" s="16"/>
      <c r="L94" s="17"/>
      <c r="M94" s="17"/>
    </row>
    <row r="95" ht="37.65" customHeight="1" spans="1:13">
      <c r="A95" s="79"/>
      <c r="B95" s="16"/>
      <c r="C95" s="16"/>
      <c r="D95" s="16"/>
      <c r="E95" s="16"/>
      <c r="F95" s="16"/>
      <c r="G95" s="16"/>
      <c r="H95" s="16"/>
      <c r="I95" s="80"/>
      <c r="J95" s="16"/>
      <c r="K95" s="16"/>
      <c r="L95" s="16"/>
      <c r="M95" s="16"/>
    </row>
    <row r="96" ht="37.65" customHeight="1" spans="1:13">
      <c r="A96" s="79"/>
      <c r="B96" s="16"/>
      <c r="C96" s="16"/>
      <c r="D96" s="16"/>
      <c r="E96" s="16"/>
      <c r="F96" s="16"/>
      <c r="G96" s="16"/>
      <c r="H96" s="16"/>
      <c r="I96" s="80"/>
      <c r="J96" s="16"/>
      <c r="K96" s="16"/>
      <c r="L96" s="16"/>
      <c r="M96" s="16"/>
    </row>
    <row r="97" ht="37.65" customHeight="1" spans="1:13">
      <c r="A97" s="79"/>
      <c r="B97" s="16"/>
      <c r="C97" s="16"/>
      <c r="D97" s="16"/>
      <c r="E97" s="16"/>
      <c r="F97" s="16"/>
      <c r="G97" s="16"/>
      <c r="H97" s="16"/>
      <c r="I97" s="80"/>
      <c r="J97" s="16"/>
      <c r="K97" s="16"/>
      <c r="L97" s="16"/>
      <c r="M97" s="16"/>
    </row>
    <row r="98" ht="37.65" customHeight="1" spans="1:13">
      <c r="A98" s="79"/>
      <c r="B98" s="16"/>
      <c r="C98" s="16"/>
      <c r="D98" s="16"/>
      <c r="E98" s="16"/>
      <c r="F98" s="16"/>
      <c r="G98" s="16"/>
      <c r="H98" s="16"/>
      <c r="I98" s="80"/>
      <c r="J98" s="16"/>
      <c r="K98" s="16"/>
      <c r="L98" s="16"/>
      <c r="M98" s="16"/>
    </row>
    <row r="99" ht="37.65" customHeight="1" spans="1:13">
      <c r="A99" s="79"/>
      <c r="B99" s="16"/>
      <c r="C99" s="16"/>
      <c r="D99" s="16"/>
      <c r="E99" s="16"/>
      <c r="F99" s="16"/>
      <c r="G99" s="16"/>
      <c r="H99" s="16"/>
      <c r="I99" s="80"/>
      <c r="J99" s="16"/>
      <c r="K99" s="16"/>
      <c r="L99" s="16"/>
      <c r="M99" s="16"/>
    </row>
    <row r="100" ht="37.65" customHeight="1" spans="1:13">
      <c r="A100" s="79"/>
      <c r="B100" s="16"/>
      <c r="C100" s="16"/>
      <c r="D100" s="16"/>
      <c r="E100" s="16"/>
      <c r="F100" s="16"/>
      <c r="G100" s="16"/>
      <c r="H100" s="16"/>
      <c r="I100" s="80"/>
      <c r="J100" s="16"/>
      <c r="K100" s="16"/>
      <c r="L100" s="16"/>
      <c r="M100" s="16"/>
    </row>
    <row r="101" ht="37.65" customHeight="1" spans="1:13">
      <c r="A101" s="79"/>
      <c r="B101" s="16"/>
      <c r="C101" s="16"/>
      <c r="D101" s="16"/>
      <c r="E101" s="16"/>
      <c r="F101" s="16"/>
      <c r="G101" s="16"/>
      <c r="H101" s="16"/>
      <c r="I101" s="80"/>
      <c r="J101" s="16"/>
      <c r="K101" s="16"/>
      <c r="L101" s="16"/>
      <c r="M101" s="16"/>
    </row>
    <row r="102" ht="37.65" customHeight="1" spans="1:13">
      <c r="A102" s="79"/>
      <c r="B102" s="16"/>
      <c r="C102" s="16"/>
      <c r="D102" s="16"/>
      <c r="E102" s="16"/>
      <c r="F102" s="16"/>
      <c r="G102" s="16"/>
      <c r="H102" s="16"/>
      <c r="I102" s="80"/>
      <c r="J102" s="16"/>
      <c r="K102" s="16"/>
      <c r="L102" s="17"/>
      <c r="M102" s="17"/>
    </row>
    <row r="103" ht="37.65" customHeight="1" spans="1:13">
      <c r="A103" s="79"/>
      <c r="B103" s="16"/>
      <c r="C103" s="16"/>
      <c r="D103" s="16"/>
      <c r="E103" s="16"/>
      <c r="F103" s="16"/>
      <c r="G103" s="16"/>
      <c r="H103" s="16"/>
      <c r="I103" s="80"/>
      <c r="J103" s="16"/>
      <c r="K103" s="16"/>
      <c r="L103" s="17"/>
      <c r="M103" s="17"/>
    </row>
    <row r="104" ht="37.65" customHeight="1" spans="1:13">
      <c r="A104" s="79"/>
      <c r="B104" s="16"/>
      <c r="C104" s="16"/>
      <c r="D104" s="16"/>
      <c r="E104" s="16"/>
      <c r="F104" s="16"/>
      <c r="G104" s="16"/>
      <c r="H104" s="16"/>
      <c r="I104" s="80"/>
      <c r="J104" s="16"/>
      <c r="K104" s="16"/>
      <c r="L104" s="17"/>
      <c r="M104" s="17"/>
    </row>
    <row r="105" ht="37.65" customHeight="1" spans="1:13">
      <c r="A105" s="79"/>
      <c r="B105" s="16"/>
      <c r="C105" s="16"/>
      <c r="D105" s="16"/>
      <c r="E105" s="16"/>
      <c r="F105" s="16"/>
      <c r="G105" s="16"/>
      <c r="H105" s="16"/>
      <c r="I105" s="80"/>
      <c r="J105" s="16"/>
      <c r="K105" s="16"/>
      <c r="L105" s="17"/>
      <c r="M105" s="17"/>
    </row>
    <row r="106" ht="37.65" customHeight="1" spans="1:13">
      <c r="A106" s="79"/>
      <c r="B106" s="16"/>
      <c r="C106" s="16"/>
      <c r="D106" s="16"/>
      <c r="E106" s="16"/>
      <c r="F106" s="16"/>
      <c r="G106" s="16"/>
      <c r="H106" s="16"/>
      <c r="I106" s="80"/>
      <c r="J106" s="16"/>
      <c r="K106" s="16"/>
      <c r="L106" s="17"/>
      <c r="M106" s="17"/>
    </row>
    <row r="107" ht="37.65" customHeight="1" spans="1:13">
      <c r="A107" s="79"/>
      <c r="B107" s="16"/>
      <c r="C107" s="16"/>
      <c r="D107" s="16"/>
      <c r="E107" s="16"/>
      <c r="F107" s="16"/>
      <c r="G107" s="16"/>
      <c r="H107" s="16"/>
      <c r="I107" s="80"/>
      <c r="J107" s="16"/>
      <c r="K107" s="16"/>
      <c r="L107" s="17"/>
      <c r="M107" s="17"/>
    </row>
    <row r="108" ht="37.65" customHeight="1" spans="1:13">
      <c r="A108" s="79"/>
      <c r="B108" s="16"/>
      <c r="C108" s="16"/>
      <c r="D108" s="16"/>
      <c r="E108" s="16"/>
      <c r="F108" s="16"/>
      <c r="G108" s="16"/>
      <c r="H108" s="16"/>
      <c r="I108" s="80"/>
      <c r="J108" s="16"/>
      <c r="K108" s="16"/>
      <c r="L108" s="17"/>
      <c r="M108" s="17"/>
    </row>
    <row r="109" ht="37.65" customHeight="1" spans="1:13">
      <c r="A109" s="79"/>
      <c r="B109" s="16"/>
      <c r="C109" s="16"/>
      <c r="D109" s="16"/>
      <c r="E109" s="16"/>
      <c r="F109" s="16"/>
      <c r="G109" s="16"/>
      <c r="H109" s="16"/>
      <c r="I109" s="80"/>
      <c r="J109" s="16"/>
      <c r="K109" s="16"/>
      <c r="L109" s="17"/>
      <c r="M109" s="17"/>
    </row>
    <row r="110" ht="37.65" customHeight="1" spans="1:13">
      <c r="A110" s="79"/>
      <c r="B110" s="16"/>
      <c r="C110" s="16"/>
      <c r="D110" s="16"/>
      <c r="E110" s="16"/>
      <c r="F110" s="16"/>
      <c r="G110" s="16"/>
      <c r="H110" s="16"/>
      <c r="I110" s="80"/>
      <c r="J110" s="16"/>
      <c r="K110" s="16"/>
      <c r="L110" s="17"/>
      <c r="M110" s="17"/>
    </row>
    <row r="111" ht="37.65" customHeight="1" spans="1:13">
      <c r="A111" s="79"/>
      <c r="B111" s="16"/>
      <c r="C111" s="16"/>
      <c r="D111" s="16"/>
      <c r="E111" s="16"/>
      <c r="F111" s="16"/>
      <c r="G111" s="16"/>
      <c r="H111" s="16"/>
      <c r="I111" s="80"/>
      <c r="J111" s="16"/>
      <c r="K111" s="16"/>
      <c r="L111" s="17"/>
      <c r="M111" s="17"/>
    </row>
    <row r="112" ht="37.65" customHeight="1" spans="1:13">
      <c r="A112" s="79"/>
      <c r="B112" s="16"/>
      <c r="C112" s="16"/>
      <c r="D112" s="16"/>
      <c r="E112" s="16"/>
      <c r="F112" s="16"/>
      <c r="G112" s="16"/>
      <c r="H112" s="16"/>
      <c r="I112" s="80"/>
      <c r="J112" s="16"/>
      <c r="K112" s="16"/>
      <c r="L112" s="17"/>
      <c r="M112" s="17"/>
    </row>
    <row r="113" ht="37.65" customHeight="1" spans="1:13">
      <c r="A113" s="79"/>
      <c r="B113" s="16"/>
      <c r="C113" s="16"/>
      <c r="D113" s="16"/>
      <c r="E113" s="16"/>
      <c r="F113" s="16"/>
      <c r="G113" s="16"/>
      <c r="H113" s="16"/>
      <c r="I113" s="80"/>
      <c r="J113" s="16"/>
      <c r="K113" s="16"/>
      <c r="L113" s="17"/>
      <c r="M113" s="17"/>
    </row>
    <row r="114" ht="37.65" customHeight="1" spans="1:13">
      <c r="A114" s="79"/>
      <c r="B114" s="16"/>
      <c r="C114" s="16"/>
      <c r="D114" s="16"/>
      <c r="E114" s="16"/>
      <c r="F114" s="16"/>
      <c r="G114" s="16"/>
      <c r="H114" s="16"/>
      <c r="I114" s="80"/>
      <c r="J114" s="16"/>
      <c r="K114" s="16"/>
      <c r="L114" s="16"/>
      <c r="M114" s="16"/>
    </row>
    <row r="115" ht="37.65" customHeight="1" spans="1:13">
      <c r="A115" s="79"/>
      <c r="B115" s="16"/>
      <c r="C115" s="16"/>
      <c r="D115" s="16"/>
      <c r="E115" s="16"/>
      <c r="F115" s="16"/>
      <c r="G115" s="16"/>
      <c r="H115" s="16"/>
      <c r="I115" s="80"/>
      <c r="J115" s="16"/>
      <c r="K115" s="16"/>
      <c r="L115" s="16"/>
      <c r="M115" s="16"/>
    </row>
    <row r="116" ht="37.65" customHeight="1" spans="1:13">
      <c r="A116" s="79"/>
      <c r="B116" s="16"/>
      <c r="C116" s="16"/>
      <c r="D116" s="16"/>
      <c r="E116" s="16"/>
      <c r="F116" s="16"/>
      <c r="G116" s="16"/>
      <c r="H116" s="16"/>
      <c r="I116" s="80"/>
      <c r="J116" s="16"/>
      <c r="K116" s="16"/>
      <c r="L116" s="16"/>
      <c r="M116" s="16"/>
    </row>
    <row r="117" ht="37.65" customHeight="1" spans="1:13">
      <c r="A117" s="79"/>
      <c r="B117" s="16"/>
      <c r="C117" s="16"/>
      <c r="D117" s="16"/>
      <c r="E117" s="16"/>
      <c r="F117" s="16"/>
      <c r="G117" s="16"/>
      <c r="H117" s="16"/>
      <c r="I117" s="80"/>
      <c r="J117" s="16"/>
      <c r="K117" s="16"/>
      <c r="L117" s="16"/>
      <c r="M117" s="16"/>
    </row>
    <row r="118" ht="37.65" customHeight="1"/>
    <row r="119" ht="37.65" customHeight="1"/>
    <row r="120" ht="37.65" customHeight="1"/>
    <row r="121" ht="37.65" customHeight="1"/>
    <row r="122" ht="37.65" customHeight="1"/>
    <row r="123" ht="37.65" customHeight="1"/>
    <row r="124" ht="37.65" customHeight="1"/>
    <row r="125" ht="37.65" customHeight="1"/>
    <row r="126" ht="37.65" customHeight="1"/>
    <row r="127" ht="37.65" customHeight="1"/>
    <row r="128" ht="37.65" customHeight="1"/>
    <row r="129" ht="37.65" customHeight="1"/>
    <row r="130" ht="37.65" customHeight="1"/>
    <row r="131" ht="37.65" customHeight="1"/>
    <row r="132" ht="37.65" customHeight="1"/>
    <row r="133" ht="37.65" customHeight="1"/>
    <row r="134" ht="37.65" customHeight="1"/>
    <row r="135" ht="37.65" customHeight="1"/>
    <row r="136" ht="37.65" customHeight="1"/>
    <row r="137" ht="37.65" customHeight="1"/>
    <row r="138" ht="37.65" customHeight="1"/>
    <row r="139" ht="37.65" customHeight="1"/>
    <row r="140" ht="37.65" customHeight="1"/>
    <row r="141" ht="37.65" customHeight="1"/>
    <row r="142" ht="37.65" customHeight="1"/>
    <row r="143" ht="37.65" customHeight="1"/>
    <row r="144" ht="37.65" customHeight="1"/>
    <row r="145" ht="37.65" customHeight="1"/>
    <row r="146" ht="37.65" customHeight="1"/>
    <row r="147" ht="37.65" customHeight="1"/>
    <row r="148" ht="37.65" customHeight="1"/>
    <row r="149" ht="37.65" customHeight="1"/>
    <row r="150" ht="37.65" customHeight="1"/>
    <row r="151" ht="37.65" customHeight="1"/>
    <row r="152" ht="37.65" customHeight="1"/>
    <row r="153" ht="37.65" customHeight="1"/>
    <row r="154" ht="37.65" customHeight="1"/>
    <row r="155" ht="37.65" customHeight="1"/>
    <row r="156" ht="37.65" customHeight="1"/>
    <row r="157" ht="37.65" customHeight="1"/>
    <row r="158" ht="37.65" customHeight="1"/>
    <row r="159" ht="37.65" customHeight="1"/>
    <row r="160" ht="37.65" customHeight="1"/>
    <row r="161" ht="37.65" customHeight="1"/>
    <row r="162" ht="37.65" customHeight="1"/>
    <row r="163" ht="37.65" customHeight="1"/>
    <row r="164" ht="37.65" customHeight="1"/>
    <row r="165" ht="37.65" customHeight="1"/>
    <row r="166" ht="37.65" customHeight="1"/>
    <row r="167" ht="37.65" customHeight="1"/>
    <row r="168" ht="37.65" customHeight="1"/>
    <row r="169" ht="37.65" customHeight="1"/>
    <row r="170" ht="37.65" customHeight="1"/>
    <row r="171" ht="37.65" customHeight="1"/>
    <row r="172" ht="37.65" customHeight="1"/>
    <row r="173" ht="37.65" customHeight="1"/>
    <row r="174" ht="37.65" customHeight="1"/>
    <row r="175" ht="37.65" customHeight="1"/>
    <row r="176" ht="37.65" customHeight="1"/>
    <row r="177" ht="37.65" customHeight="1"/>
    <row r="178" ht="37.65" customHeight="1"/>
    <row r="179" ht="37.65" customHeight="1"/>
    <row r="180" ht="37.65" customHeight="1"/>
    <row r="181" ht="37.65" customHeight="1"/>
    <row r="182" ht="37.65" customHeight="1"/>
    <row r="183" ht="37.65" customHeight="1"/>
    <row r="184" ht="37.65" customHeight="1"/>
    <row r="185" ht="37.65" customHeight="1"/>
    <row r="186" ht="37.65" customHeight="1"/>
    <row r="187" ht="37.65" customHeight="1"/>
    <row r="188" ht="37.65" customHeight="1"/>
    <row r="189" ht="37.65" customHeight="1"/>
    <row r="190" ht="37.65" customHeight="1"/>
    <row r="191" ht="37.65" customHeight="1"/>
    <row r="192" ht="37.65" customHeight="1"/>
    <row r="193" ht="37.65" customHeight="1"/>
    <row r="194" ht="37.65" customHeight="1"/>
    <row r="195" ht="37.65" customHeight="1"/>
    <row r="196" ht="37.65" customHeight="1"/>
    <row r="197" ht="37.65" customHeight="1"/>
    <row r="198" ht="37.65" customHeight="1"/>
    <row r="199" ht="37.65" customHeight="1"/>
    <row r="200" ht="37.65" customHeight="1"/>
    <row r="201" ht="37.65" customHeight="1"/>
    <row r="202" ht="37.65" customHeight="1"/>
    <row r="203" ht="37.65" customHeight="1"/>
    <row r="204" ht="37.65" customHeight="1"/>
    <row r="205" ht="37.65" customHeight="1"/>
    <row r="206" ht="37.65" customHeight="1"/>
    <row r="207" ht="37.65" customHeight="1"/>
    <row r="208" ht="37.65" customHeight="1"/>
    <row r="209" ht="37.65" customHeight="1"/>
    <row r="210" ht="37.65" customHeight="1"/>
    <row r="211" ht="37.65" customHeight="1"/>
    <row r="212" ht="37.65" customHeight="1"/>
  </sheetData>
  <sheetProtection formatColumns="0" formatRows="0" insertRows="0" insertColumns="0" insertHyperlinks="0" deleteColumns="0" deleteRows="0" sort="0" autoFilter="0" pivotTables="0"/>
  <mergeCells count="23">
    <mergeCell ref="A1:F1"/>
    <mergeCell ref="A2:C2"/>
    <mergeCell ref="D2:E2"/>
    <mergeCell ref="G2:M2"/>
    <mergeCell ref="A4:A51"/>
    <mergeCell ref="B4:B12"/>
    <mergeCell ref="B13:B16"/>
    <mergeCell ref="B17:B35"/>
    <mergeCell ref="B36:B51"/>
    <mergeCell ref="C17:C23"/>
    <mergeCell ref="C24:C31"/>
    <mergeCell ref="C32:C34"/>
    <mergeCell ref="C36:C51"/>
    <mergeCell ref="F6:F8"/>
    <mergeCell ref="F17:F19"/>
    <mergeCell ref="F20:F22"/>
    <mergeCell ref="F25:F27"/>
    <mergeCell ref="F37:F38"/>
    <mergeCell ref="F39:F40"/>
    <mergeCell ref="F42:F43"/>
    <mergeCell ref="G25:G27"/>
    <mergeCell ref="H25:H27"/>
    <mergeCell ref="J25:J27"/>
  </mergeCells>
  <conditionalFormatting sqref="M1:M27 M52:M75 M79:M212">
    <cfRule type="expression" dxfId="0" priority="1">
      <formula>AND($M1-TODAY()&lt;=#REF!,#REF!&lt;&gt;"完成",$M1&lt;&gt;0)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3"/>
  <sheetViews>
    <sheetView workbookViewId="0">
      <selection activeCell="A1" sqref="A1:B1"/>
    </sheetView>
  </sheetViews>
  <sheetFormatPr defaultColWidth="10" defaultRowHeight="16.5" customHeight="1"/>
  <cols>
    <col min="1" max="12" width="29.1212121212121" customWidth="1"/>
  </cols>
  <sheetData>
    <row r="1" customHeight="1" spans="1:12">
      <c r="A1" s="1"/>
      <c r="B1" s="2"/>
      <c r="C1" s="3" t="s">
        <v>1</v>
      </c>
      <c r="D1" s="3"/>
      <c r="E1" s="4" t="s">
        <v>2</v>
      </c>
      <c r="F1" s="5" t="s">
        <v>3</v>
      </c>
      <c r="G1" s="6"/>
      <c r="H1" s="6"/>
      <c r="I1" s="6"/>
      <c r="J1" s="6"/>
      <c r="K1" s="6"/>
      <c r="L1" s="6"/>
    </row>
    <row r="2" ht="24.75" customHeight="1" spans="1:12">
      <c r="A2" s="7" t="s">
        <v>5</v>
      </c>
      <c r="B2" s="7" t="s">
        <v>6</v>
      </c>
      <c r="C2" s="8" t="s">
        <v>7</v>
      </c>
      <c r="D2" s="8" t="s">
        <v>8</v>
      </c>
      <c r="E2" s="9" t="s">
        <v>9</v>
      </c>
      <c r="F2" s="10" t="s">
        <v>10</v>
      </c>
      <c r="G2" s="11" t="s">
        <v>11</v>
      </c>
      <c r="H2" s="11" t="s">
        <v>12</v>
      </c>
      <c r="I2" s="10" t="s">
        <v>13</v>
      </c>
      <c r="J2" s="10" t="s">
        <v>14</v>
      </c>
      <c r="K2" s="10" t="s">
        <v>15</v>
      </c>
      <c r="L2" s="10" t="s">
        <v>16</v>
      </c>
    </row>
    <row r="3" ht="41.25" customHeight="1" spans="1:12">
      <c r="A3" s="12" t="s">
        <v>18</v>
      </c>
      <c r="B3" s="13" t="s">
        <v>235</v>
      </c>
      <c r="C3" s="13" t="s">
        <v>20</v>
      </c>
      <c r="D3" s="13" t="s">
        <v>236</v>
      </c>
      <c r="E3" s="13" t="s">
        <v>22</v>
      </c>
      <c r="F3" s="13">
        <f t="shared" ref="F3:F11" si="0">ROW()-3</f>
        <v>0</v>
      </c>
      <c r="G3" s="13" t="s">
        <v>23</v>
      </c>
      <c r="H3" s="14" t="s">
        <v>237</v>
      </c>
      <c r="I3" s="15" t="s">
        <v>238</v>
      </c>
      <c r="J3" s="16"/>
      <c r="K3" s="17"/>
      <c r="L3" s="17"/>
    </row>
    <row r="4" ht="41.25" customHeight="1" spans="1:12">
      <c r="A4" s="18"/>
      <c r="B4" s="13" t="s">
        <v>239</v>
      </c>
      <c r="C4" s="13" t="s">
        <v>240</v>
      </c>
      <c r="D4" s="13" t="s">
        <v>241</v>
      </c>
      <c r="E4" s="13" t="s">
        <v>242</v>
      </c>
      <c r="F4" s="13">
        <f t="shared" si="0"/>
        <v>1</v>
      </c>
      <c r="G4" s="13" t="s">
        <v>243</v>
      </c>
      <c r="H4" s="14" t="s">
        <v>244</v>
      </c>
      <c r="I4" s="15" t="s">
        <v>245</v>
      </c>
      <c r="J4" s="16"/>
      <c r="K4" s="17"/>
      <c r="L4" s="17"/>
    </row>
    <row r="5" ht="27.75" customHeight="1" spans="1:12">
      <c r="A5" s="18"/>
      <c r="B5" s="13" t="s">
        <v>246</v>
      </c>
      <c r="C5" s="13" t="s">
        <v>247</v>
      </c>
      <c r="D5" s="13" t="s">
        <v>248</v>
      </c>
      <c r="E5" s="13" t="s">
        <v>249</v>
      </c>
      <c r="F5" s="13">
        <f t="shared" si="0"/>
        <v>2</v>
      </c>
      <c r="G5" s="13" t="s">
        <v>250</v>
      </c>
      <c r="H5" s="14" t="s">
        <v>251</v>
      </c>
      <c r="I5" s="15" t="s">
        <v>252</v>
      </c>
      <c r="J5" s="16"/>
      <c r="K5" s="17"/>
      <c r="L5" s="17"/>
    </row>
    <row r="6" ht="27.75" customHeight="1" spans="1:12">
      <c r="A6" s="18"/>
      <c r="B6" s="13" t="s">
        <v>253</v>
      </c>
      <c r="C6" s="13" t="s">
        <v>254</v>
      </c>
      <c r="D6" s="13" t="s">
        <v>255</v>
      </c>
      <c r="E6" s="13" t="s">
        <v>249</v>
      </c>
      <c r="F6" s="13">
        <f t="shared" si="0"/>
        <v>3</v>
      </c>
      <c r="G6" s="13" t="s">
        <v>256</v>
      </c>
      <c r="H6" s="14" t="s">
        <v>257</v>
      </c>
      <c r="I6" s="19" t="s">
        <v>258</v>
      </c>
      <c r="J6" s="13"/>
      <c r="K6" s="17"/>
      <c r="L6" s="17"/>
    </row>
    <row r="7" ht="27.75" customHeight="1" spans="1:12">
      <c r="A7" s="18"/>
      <c r="B7" s="13" t="s">
        <v>259</v>
      </c>
      <c r="C7" s="13" t="s">
        <v>260</v>
      </c>
      <c r="D7" s="13" t="s">
        <v>261</v>
      </c>
      <c r="E7" s="13" t="s">
        <v>249</v>
      </c>
      <c r="F7" s="13">
        <f t="shared" si="0"/>
        <v>4</v>
      </c>
      <c r="G7" s="13" t="s">
        <v>262</v>
      </c>
      <c r="H7" s="14" t="s">
        <v>263</v>
      </c>
      <c r="I7" s="20" t="s">
        <v>264</v>
      </c>
      <c r="J7" s="20"/>
      <c r="K7" s="17"/>
      <c r="L7" s="17"/>
    </row>
    <row r="8" ht="27.75" customHeight="1" spans="1:12">
      <c r="A8" s="18"/>
      <c r="B8" s="13" t="s">
        <v>265</v>
      </c>
      <c r="C8" s="13" t="s">
        <v>266</v>
      </c>
      <c r="D8" s="13" t="s">
        <v>267</v>
      </c>
      <c r="E8" s="13" t="s">
        <v>249</v>
      </c>
      <c r="F8" s="13">
        <f t="shared" si="0"/>
        <v>5</v>
      </c>
      <c r="G8" s="13" t="s">
        <v>268</v>
      </c>
      <c r="H8" s="14" t="s">
        <v>269</v>
      </c>
      <c r="I8" s="19" t="s">
        <v>270</v>
      </c>
      <c r="J8" s="13"/>
      <c r="K8" s="17"/>
      <c r="L8" s="17"/>
    </row>
    <row r="9" ht="30.75" customHeight="1" spans="1:12">
      <c r="A9" s="18"/>
      <c r="B9" s="13" t="s">
        <v>271</v>
      </c>
      <c r="C9" s="13" t="s">
        <v>272</v>
      </c>
      <c r="D9" s="13" t="s">
        <v>273</v>
      </c>
      <c r="E9" s="13" t="s">
        <v>274</v>
      </c>
      <c r="F9" s="13">
        <f t="shared" si="0"/>
        <v>6</v>
      </c>
      <c r="G9" s="13" t="s">
        <v>275</v>
      </c>
      <c r="H9" s="20" t="s">
        <v>276</v>
      </c>
      <c r="I9" s="15" t="s">
        <v>277</v>
      </c>
      <c r="J9" s="16"/>
      <c r="K9" s="17"/>
      <c r="L9" s="17"/>
    </row>
    <row r="10" ht="27.75" customHeight="1" spans="1:12">
      <c r="A10" s="18"/>
      <c r="B10" s="13" t="s">
        <v>278</v>
      </c>
      <c r="C10" s="13" t="s">
        <v>279</v>
      </c>
      <c r="D10" s="13" t="s">
        <v>280</v>
      </c>
      <c r="E10" s="13" t="s">
        <v>274</v>
      </c>
      <c r="F10" s="13">
        <f t="shared" si="0"/>
        <v>7</v>
      </c>
      <c r="G10" s="13" t="s">
        <v>281</v>
      </c>
      <c r="H10" s="14" t="s">
        <v>282</v>
      </c>
      <c r="I10" s="15" t="s">
        <v>283</v>
      </c>
      <c r="J10" s="16"/>
      <c r="K10" s="17"/>
      <c r="L10" s="17"/>
    </row>
    <row r="11" ht="27.75" customHeight="1" spans="1:12">
      <c r="A11" s="18"/>
      <c r="B11" s="19" t="s">
        <v>284</v>
      </c>
      <c r="C11" s="13" t="s">
        <v>285</v>
      </c>
      <c r="D11" s="13" t="s">
        <v>286</v>
      </c>
      <c r="E11" s="13" t="s">
        <v>287</v>
      </c>
      <c r="F11" s="13">
        <f t="shared" si="0"/>
        <v>8</v>
      </c>
      <c r="G11" s="13" t="s">
        <v>288</v>
      </c>
      <c r="H11" s="14" t="s">
        <v>289</v>
      </c>
      <c r="I11" s="15" t="s">
        <v>290</v>
      </c>
      <c r="J11" s="16"/>
      <c r="K11" s="17"/>
      <c r="L11" s="17"/>
    </row>
    <row r="18" customHeight="1" spans="3:15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</row>
    <row r="19" customHeight="1" spans="3:15"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customHeight="1" spans="3:15"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customHeight="1" spans="3:15"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customHeight="1" spans="3:15"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customHeight="1" spans="3:15"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2"/>
      <c r="O23" s="22"/>
    </row>
  </sheetData>
  <mergeCells count="4">
    <mergeCell ref="A1:B1"/>
    <mergeCell ref="C1:D1"/>
    <mergeCell ref="F1:L1"/>
    <mergeCell ref="A3:A11"/>
  </mergeCells>
  <conditionalFormatting sqref="L1:L11">
    <cfRule type="expression" dxfId="0" priority="1">
      <formula>AND($L1-TODAY()&lt;=#REF!,#REF!&lt;&gt;"完成",$L1&lt;&gt;0)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3.8" customHeight="1"/>
  <sheetData/>
  <sheetProtection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后勤部重点事项</vt:lpstr>
      <vt:lpstr>后勤部部门规划（人力）细化方案-副本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Posi</cp:lastModifiedBy>
  <dcterms:created xsi:type="dcterms:W3CDTF">2006-09-16T00:00:00Z</dcterms:created>
  <dcterms:modified xsi:type="dcterms:W3CDTF">2026-05-09T07:51:02Z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772B35B409784039A769E999454AB86F_12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