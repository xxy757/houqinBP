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activeTab="1"/>
  </bookViews>
  <sheets>
    <sheet name="26-27年预算" sheetId="1" r:id="rId1"/>
    <sheet name="宏观视角与目标" sheetId="3" r:id="rId2"/>
    <sheet name="执行时间线" sheetId="5" r:id="rId3"/>
    <sheet name="降费方案明细"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<sst xmlns="http://schemas.openxmlformats.org/spreadsheetml/2006/main" count="647" uniqueCount="428">
  <si>
    <t>月份</t>
  </si>
  <si>
    <t>2026.1</t>
  </si>
  <si>
    <t>2026.2</t>
  </si>
  <si>
    <t>2026.3</t>
  </si>
  <si>
    <t>2026.4</t>
  </si>
  <si>
    <t>2026.5</t>
  </si>
  <si>
    <t>2026.6</t>
  </si>
  <si>
    <t>2026.7</t>
  </si>
  <si>
    <t>2026.8</t>
  </si>
  <si>
    <t>2026.9</t>
  </si>
  <si>
    <t>2026.10</t>
  </si>
  <si>
    <t>2026.11</t>
  </si>
  <si>
    <t>2026.12</t>
  </si>
  <si>
    <t>合计</t>
  </si>
  <si>
    <t>预算数</t>
  </si>
  <si>
    <t>公司部门</t>
  </si>
  <si>
    <t>后勤部</t>
  </si>
  <si>
    <t>工资</t>
  </si>
  <si>
    <t>劳务费</t>
  </si>
  <si>
    <t>社保医保</t>
  </si>
  <si>
    <t>住房公积金</t>
  </si>
  <si>
    <t>福利费</t>
  </si>
  <si>
    <t>业务接待费</t>
  </si>
  <si>
    <t>差旅费</t>
  </si>
  <si>
    <t>办公费</t>
  </si>
  <si>
    <t>运费</t>
  </si>
  <si>
    <t>保险费</t>
  </si>
  <si>
    <t>其他费用</t>
  </si>
  <si>
    <t>物料消耗</t>
  </si>
  <si>
    <t>维修费</t>
  </si>
  <si>
    <t>工伤费</t>
  </si>
  <si>
    <t>车辆保养维修费</t>
  </si>
  <si>
    <t>电梯保养维护费</t>
  </si>
  <si>
    <t>审计顾问费</t>
  </si>
  <si>
    <t>验厂费</t>
  </si>
  <si>
    <t>工会费</t>
  </si>
  <si>
    <t>折旧费</t>
  </si>
  <si>
    <t>累计摊销</t>
  </si>
  <si>
    <t>水电费</t>
  </si>
  <si>
    <t>宏观视角与目标</t>
  </si>
  <si>
    <t>一、年度预算核心指标总览表</t>
  </si>
  <si>
    <t>指标名称</t>
  </si>
  <si>
    <t>数值</t>
  </si>
  <si>
    <t>单位/备注</t>
  </si>
  <si>
    <t>全年预算总额</t>
  </si>
  <si>
    <t>万元</t>
  </si>
  <si>
    <t>Q1实际支出</t>
  </si>
  <si>
    <t>剩余可用预算</t>
  </si>
  <si>
    <t>月度预算均线</t>
  </si>
  <si>
    <t>Q1实际月均</t>
  </si>
  <si>
    <t>预算已执行比例</t>
  </si>
  <si>
    <t>-</t>
  </si>
  <si>
    <t>业务接待费最大降幅（vs2025）</t>
  </si>
  <si>
    <t>折旧费最大升幅（vs2025）</t>
  </si>
  <si>
    <t>分析</t>
  </si>
  <si>
    <r>
      <rPr>
        <sz val="11"/>
        <color theme="1"/>
        <rFont val="宋体"/>
        <charset val="134"/>
        <scheme val="minor"/>
      </rPr>
      <t>Q1（1-3月）为实际花销数据，4-12月为财务给出的预算分配数据。
Q1实际月均略高于均线，年初支出节奏偏快，后续需</t>
    </r>
    <r>
      <rPr>
        <b/>
        <sz val="11"/>
        <color theme="1"/>
        <rFont val="宋体"/>
        <charset val="134"/>
        <scheme val="minor"/>
      </rPr>
      <t>加强管控</t>
    </r>
    <r>
      <rPr>
        <sz val="11"/>
        <color theme="1"/>
        <rFont val="宋体"/>
        <charset val="134"/>
        <scheme val="minor"/>
      </rPr>
      <t>。</t>
    </r>
  </si>
  <si>
    <t>二、本预算年度核心工作目标表</t>
  </si>
  <si>
    <t>序号</t>
  </si>
  <si>
    <t>目标名称</t>
  </si>
  <si>
    <t>核心内容</t>
  </si>
  <si>
    <t>全面降本增效，总费用同比变化71.0%</t>
  </si>
  <si>
    <r>
      <rPr>
        <sz val="11"/>
        <color theme="1"/>
        <rFont val="宋体"/>
        <charset val="134"/>
        <scheme val="minor"/>
      </rPr>
      <t>2025年度实际支出1,251.18万元，本年度预算2,139.03万元（含折旧大幅增长）。剔除折旧摊销后运营费用约919.30万元，较2025年实际731.59万元增长25.7%，主要因搬迁新厂区。
核心目标：在保障搬迁后运营品质的前提下，将</t>
    </r>
    <r>
      <rPr>
        <b/>
        <sz val="11"/>
        <color theme="1"/>
        <rFont val="宋体"/>
        <charset val="134"/>
        <scheme val="minor"/>
      </rPr>
      <t>弹性费用控制在预算红线内</t>
    </r>
    <r>
      <rPr>
        <sz val="11"/>
        <color theme="1"/>
        <rFont val="宋体"/>
        <charset val="134"/>
        <scheme val="minor"/>
      </rPr>
      <t>。</t>
    </r>
  </si>
  <si>
    <r>
      <rPr>
        <b/>
        <sz val="11"/>
        <color theme="1"/>
        <rFont val="宋体"/>
        <charset val="134"/>
        <scheme val="minor"/>
      </rPr>
      <t>人员成本优化</t>
    </r>
    <r>
      <rPr>
        <sz val="11"/>
        <color theme="1"/>
        <rFont val="宋体"/>
        <charset val="134"/>
        <scheme val="minor"/>
      </rPr>
      <t>，弹性人工费压降24%-66%</t>
    </r>
  </si>
  <si>
    <t>工资预算362.18万元（同比-24.1%），劳务费预算130.00万元（同比-46.4%）。
通过缩减编制、优化排班、木工集约化作业实现，社保医保预算40.00万元（同比-48.5%），随人员缩减自然降低。</t>
  </si>
  <si>
    <r>
      <rPr>
        <sz val="11"/>
        <color theme="1"/>
        <rFont val="宋体"/>
        <charset val="134"/>
        <scheme val="minor"/>
      </rPr>
      <t>弹性</t>
    </r>
    <r>
      <rPr>
        <b/>
        <sz val="11"/>
        <color theme="1"/>
        <rFont val="宋体"/>
        <charset val="134"/>
        <scheme val="minor"/>
      </rPr>
      <t>运营费用</t>
    </r>
    <r>
      <rPr>
        <sz val="11"/>
        <color theme="1"/>
        <rFont val="宋体"/>
        <charset val="134"/>
        <scheme val="minor"/>
      </rPr>
      <t>精细化管控</t>
    </r>
  </si>
  <si>
    <r>
      <rPr>
        <sz val="11"/>
        <color theme="1"/>
        <rFont val="宋体"/>
        <charset val="134"/>
        <scheme val="minor"/>
      </rPr>
      <t>业务接待费预算1.50万元（同比-89.2%），差旅费9.00万元（同比-7.4%），维修费3.50万元（同比-48.3%），工伤费1.00万元（同比-122.1%）。
通过</t>
    </r>
    <r>
      <rPr>
        <b/>
        <sz val="11"/>
        <color theme="1"/>
        <rFont val="宋体"/>
        <charset val="134"/>
        <scheme val="minor"/>
      </rPr>
      <t>制度建设和过程管控</t>
    </r>
    <r>
      <rPr>
        <sz val="11"/>
        <color theme="1"/>
        <rFont val="宋体"/>
        <charset val="134"/>
        <scheme val="minor"/>
      </rPr>
      <t>，实现“能省则省、该花必花”的支出原则。</t>
    </r>
  </si>
  <si>
    <r>
      <rPr>
        <sz val="11"/>
        <color theme="1"/>
        <rFont val="宋体"/>
        <charset val="134"/>
        <scheme val="minor"/>
      </rPr>
      <t>搬迁后新区</t>
    </r>
    <r>
      <rPr>
        <b/>
        <sz val="11"/>
        <color theme="1"/>
        <rFont val="宋体"/>
        <charset val="134"/>
        <scheme val="minor"/>
      </rPr>
      <t>水电费用</t>
    </r>
    <r>
      <rPr>
        <sz val="11"/>
        <color theme="1"/>
        <rFont val="宋体"/>
        <charset val="134"/>
        <scheme val="minor"/>
      </rPr>
      <t>有效管控</t>
    </r>
  </si>
  <si>
    <t>水电费预算80.00万元（同比+38.2%），因新厂区面积扩大、电梯增至35台。
需通过安装分水表、光伏评估、照明技改、无功补偿管理等措施，将实际支出控制在预算范围内。</t>
  </si>
  <si>
    <t>水电费预算 80.00 万元（同比 + 38.2%），因新厂区面积扩大、电梯增至 35 台。需通过安装分水表、光伏评估、照明技改、无功补偿管理等措施，将实际支出控制在预算范围内。</t>
  </si>
  <si>
    <r>
      <rPr>
        <b/>
        <sz val="11"/>
        <color theme="1"/>
        <rFont val="宋体"/>
        <charset val="134"/>
        <scheme val="minor"/>
      </rPr>
      <t>安全管理</t>
    </r>
    <r>
      <rPr>
        <sz val="11"/>
        <color theme="1"/>
        <rFont val="宋体"/>
        <charset val="134"/>
        <scheme val="minor"/>
      </rPr>
      <t>零重大事故，工伤费用控制在1万以内</t>
    </r>
  </si>
  <si>
    <t>建立全流程安全管控体系（事前预防、事中规范就医、事后责任追究与理赔跟进），将工伤费预算压降至1.00万元，同比下降55%。</t>
  </si>
  <si>
    <t>建立全流程安全管控体系（事前预防、事中规范就医、事后责任追究与理赔跟进），将工伤费预算压降至 1.00 万元，同比下降 55%。</t>
  </si>
  <si>
    <r>
      <rPr>
        <b/>
        <sz val="11"/>
        <color theme="1"/>
        <rFont val="宋体"/>
        <charset val="134"/>
        <scheme val="minor"/>
      </rPr>
      <t>车辆管</t>
    </r>
    <r>
      <rPr>
        <sz val="11"/>
        <color theme="1"/>
        <rFont val="宋体"/>
        <charset val="134"/>
        <scheme val="minor"/>
      </rPr>
      <t>理规范化，维保费用稳中降</t>
    </r>
  </si>
  <si>
    <t>车辆保养维修预算18.00万元（同比-4.7%），通过制定维保手册、定点维修、批量采购耗材、合理调配用车等措施，确保车辆安全同时控制费用。</t>
  </si>
  <si>
    <t>车辆保养维修预算 18.00 万元（同比 - 4.7%），通过制定维保手册、定点维修、批量采购耗材、合理调配用车等措施，确保车辆安全同时控制费用。</t>
  </si>
  <si>
    <t>四、费用结构分析表</t>
  </si>
  <si>
    <t>费用类别</t>
  </si>
  <si>
    <t>费用项目</t>
  </si>
  <si>
    <t>年度预算（万元）</t>
  </si>
  <si>
    <t>占比</t>
  </si>
  <si>
    <t>同比2025年</t>
  </si>
  <si>
    <t>管控策略</t>
  </si>
  <si>
    <t>固定/公司级费用（不可控）</t>
  </si>
  <si>
    <t>按制度执行，确保合规</t>
  </si>
  <si>
    <t>同上，新厂区无形资产摊销</t>
  </si>
  <si>
    <t>公司级费用，合规性审计/汇率/汇率避险</t>
  </si>
  <si>
    <t>其他固定项
（保险/社保/公积金/厂房/电费/办公/系统）</t>
  </si>
  <si>
    <t>社保、公积金等随人数下降自然减少</t>
  </si>
  <si>
    <t>弹性运营费用（可控）</t>
  </si>
  <si>
    <t>工资+劳务费</t>
  </si>
  <si>
    <t>重点管控，降本增效主战场</t>
  </si>
  <si>
    <t>新厂区面积扩大，需技改降耗</t>
  </si>
  <si>
    <t>其他弹性项
（福利/差旅/办公/耗材/运费/招待/维修/工伤/车辆/维保）</t>
  </si>
  <si>
    <t>各单项均有详细降费方案</t>
  </si>
  <si>
    <t>细化执行时间线（2026年5月 - 2027年3月）</t>
  </si>
  <si>
    <t>阶段一：制度建设与方案定稿阶段（2026年5月 第1周-第4周）</t>
  </si>
  <si>
    <t>任务名称</t>
  </si>
  <si>
    <t>责任处</t>
  </si>
  <si>
    <t>起止时间</t>
  </si>
  <si>
    <t>具体动作描述</t>
  </si>
  <si>
    <t>前置条件/资源依赖</t>
  </si>
  <si>
    <t>产出物/验收标准</t>
  </si>
  <si>
    <t>1.1</t>
  </si>
  <si>
    <t>年度降费方案定稿</t>
  </si>
  <si>
    <t>部长</t>
  </si>
  <si>
    <t>5月第1周</t>
  </si>
  <si>
    <t>根据Q1实际花销和全年预算，定稿降费实施方案</t>
  </si>
  <si>
    <t>需Q1实际数据</t>
  </si>
  <si>
    <t>形成《降费实施方案》</t>
  </si>
  <si>
    <t>1.2</t>
  </si>
  <si>
    <t>人员编制与排班方案</t>
  </si>
  <si>
    <t>5月第1-2周</t>
  </si>
  <si>
    <t>编制缩减计划</t>
  </si>
  <si>
    <t>编制调整方案</t>
  </si>
  <si>
    <t>形成《人力资源优化方案》</t>
  </si>
  <si>
    <t>1.3</t>
  </si>
  <si>
    <t>分级接待标准制定</t>
  </si>
  <si>
    <t>行政事务处</t>
  </si>
  <si>
    <t>制定接待分级标准</t>
  </si>
  <si>
    <t>参考近三个月来访客人编制</t>
  </si>
  <si>
    <t>形成《来访接待标准管理规范》</t>
  </si>
  <si>
    <t>1.4</t>
  </si>
  <si>
    <t>一次性用品替代方案</t>
  </si>
  <si>
    <t>5月第2-3周</t>
  </si>
  <si>
    <t>使用陶瓷公杯；停止一次性杯常规采购</t>
  </si>
  <si>
    <t>一次性杯采购量减少50%以上</t>
  </si>
  <si>
    <t>1.5</t>
  </si>
  <si>
    <t>打印管控方案实施</t>
  </si>
  <si>
    <t>综合项目管理处</t>
  </si>
  <si>
    <t>设置打印机默认黑白双面</t>
  </si>
  <si>
    <t>IT组协助</t>
  </si>
  <si>
    <t>打印机默认设置调整完成</t>
  </si>
  <si>
    <t>1.6</t>
  </si>
  <si>
    <t>厂区巡检保养制度</t>
  </si>
  <si>
    <t>5月第2-4周</t>
  </si>
  <si>
    <t>划分厂区责任区；建立维修费用台账</t>
  </si>
  <si>
    <t>需各区域责任部门确认</t>
  </si>
  <si>
    <t>形成《巡检保养制度》</t>
  </si>
  <si>
    <t>1.7</t>
  </si>
  <si>
    <t>车辆维保手册编制</t>
  </si>
  <si>
    <t>5月第1-3周</t>
  </si>
  <si>
    <t>按车型/里程编保养项目清单</t>
  </si>
  <si>
    <t>需车辆台账数据</t>
  </si>
  <si>
    <t>形成《车辆维保手册》</t>
  </si>
  <si>
    <t>1.8</t>
  </si>
  <si>
    <t>定点维修厂洽谈</t>
  </si>
  <si>
    <t>5月第3-4周</t>
  </si>
  <si>
    <t>筛选修理厂/4S店，洽谈协议价</t>
  </si>
  <si>
    <t>需商务部流程配合</t>
  </si>
  <si>
    <t>阶段二：降本措施全面推行阶段（2026年6月-7月）</t>
  </si>
  <si>
    <t>责任角色</t>
  </si>
  <si>
    <t>2.1</t>
  </si>
  <si>
    <t>水电节能—水表安装</t>
  </si>
  <si>
    <t>6月第1-3周</t>
  </si>
  <si>
    <t>安装分级水表，建立用水台账</t>
  </si>
  <si>
    <t>采购水表约2000元</t>
  </si>
  <si>
    <t>水表安装到位</t>
  </si>
  <si>
    <t>2.2</t>
  </si>
  <si>
    <t>水电节能—照明技改</t>
  </si>
  <si>
    <t>6月第2-4周</t>
  </si>
  <si>
    <t>安装亮度感应开关，分区控制照明</t>
  </si>
  <si>
    <t>需采购感应开关</t>
  </si>
  <si>
    <t>完成公共区域照明技改</t>
  </si>
  <si>
    <t>2.3</t>
  </si>
  <si>
    <t>水电节能—光伏评估</t>
  </si>
  <si>
    <t>评估屋顶光伏安装方案</t>
  </si>
  <si>
    <t>需联系供应商报价</t>
  </si>
  <si>
    <t>形成《光伏可行性评估报告》</t>
  </si>
  <si>
    <t>2.4</t>
  </si>
  <si>
    <t>水电节能—无功补偿检查</t>
  </si>
  <si>
    <t>6月第1-2周</t>
  </si>
  <si>
    <t>检查电容柜投切，确认功率因数≥0.9</t>
  </si>
  <si>
    <t>需电工检测设备</t>
  </si>
  <si>
    <t>无功补偿正常运行</t>
  </si>
  <si>
    <t>2.5</t>
  </si>
  <si>
    <t>安全巡查频率提升</t>
  </si>
  <si>
    <t>6月起持续</t>
  </si>
  <si>
    <t>每日至少1次巡查；隐患立即整改</t>
  </si>
  <si>
    <t>需安全巡查记录本</t>
  </si>
  <si>
    <t>隐患整改率100%</t>
  </si>
  <si>
    <t>2.6</t>
  </si>
  <si>
    <t>行政事务处/出差员工</t>
  </si>
  <si>
    <t>制定拼车出行方案；记录车辆使用情况，每月分析用车频率及成本</t>
  </si>
  <si>
    <t>需确认电动车车况</t>
  </si>
  <si>
    <t>形成《电动车使用规范》</t>
  </si>
  <si>
    <t>2.7</t>
  </si>
  <si>
    <t>商会/协会梳理优化</t>
  </si>
  <si>
    <t>梳理所有商会会员，砍掉无效会员</t>
  </si>
  <si>
    <t>需各商会费用明细</t>
  </si>
  <si>
    <t>形成《商会会员评估表》</t>
  </si>
  <si>
    <t>2.8</t>
  </si>
  <si>
    <t>水费查漏暗管测试</t>
  </si>
  <si>
    <t>7月第1-2周</t>
  </si>
  <si>
    <t>夜间闭阀静态测试查漏</t>
  </si>
  <si>
    <t>需夜间非生产时段</t>
  </si>
  <si>
    <t>形成《暗管漏水排查报告》</t>
  </si>
  <si>
    <t>车辆耗材批量采购</t>
  </si>
  <si>
    <t>常用耗材集中采购</t>
  </si>
  <si>
    <t>预算约3000元</t>
  </si>
  <si>
    <t>完成6个月用量备货</t>
  </si>
  <si>
    <t>空调温控管理</t>
  </si>
  <si>
    <t>6月-9月</t>
  </si>
  <si>
    <t>设定空调开启温度限制（26°C以上）</t>
  </si>
  <si>
    <t>需温控设备</t>
  </si>
  <si>
    <t>空调开启规则执行到位</t>
  </si>
  <si>
    <t>阶段三：中期复盘与优化调整阶段（2026年8月-9月）</t>
  </si>
  <si>
    <t>3.1</t>
  </si>
  <si>
    <t>Q2费用执行复盘</t>
  </si>
  <si>
    <t>7月末-8月第1周</t>
  </si>
  <si>
    <t>汇总Q2各科目实际支出与预算对比</t>
  </si>
  <si>
    <t>需Q2实际数据</t>
  </si>
  <si>
    <t>形成《Q2预算执行分析报告》</t>
  </si>
  <si>
    <t>3.2</t>
  </si>
  <si>
    <t>清洁/绿植周评估</t>
  </si>
  <si>
    <t>专项事务监察处</t>
  </si>
  <si>
    <t>8月起持续</t>
  </si>
  <si>
    <t>每周评估物资用量合理性</t>
  </si>
  <si>
    <t>需物资用量台账</t>
  </si>
  <si>
    <t>形成《物资用量周报表》</t>
  </si>
  <si>
    <t>3.3</t>
  </si>
  <si>
    <t>工伤台账建立</t>
  </si>
  <si>
    <t>综合项目管理处/行政事务处</t>
  </si>
  <si>
    <t>8月第1-2周</t>
  </si>
  <si>
    <t>建立工伤台账</t>
  </si>
  <si>
    <t>需1-7月工伤数据</t>
  </si>
  <si>
    <t>形成《工伤费用台账》</t>
  </si>
  <si>
    <t>3.4</t>
  </si>
  <si>
    <t>用水台账月度分析</t>
  </si>
  <si>
    <t>8月起每月</t>
  </si>
  <si>
    <t>每月分析各区域用水量</t>
  </si>
  <si>
    <t>需分级水表数据</t>
  </si>
  <si>
    <t>形成《月度用水分析表》</t>
  </si>
  <si>
    <t>3.5</t>
  </si>
  <si>
    <t>电费账单月度分析</t>
  </si>
  <si>
    <t>核对基本电费计算方式是否最优</t>
  </si>
  <si>
    <t>需供电局电费账单</t>
  </si>
  <si>
    <t>形成《月度电费分析表》</t>
  </si>
  <si>
    <t>3.6</t>
  </si>
  <si>
    <t>用车频率月度分析</t>
  </si>
  <si>
    <t>记录车辆使用情况</t>
  </si>
  <si>
    <t>需车辆使用登记</t>
  </si>
  <si>
    <t>形成《月度用车分析表》</t>
  </si>
  <si>
    <t>3.7</t>
  </si>
  <si>
    <t>维修费用月度统计</t>
  </si>
  <si>
    <t>统计各区域维修费</t>
  </si>
  <si>
    <t>需巡检记录</t>
  </si>
  <si>
    <t>形成《月度维修费用统计表》</t>
  </si>
  <si>
    <t>3.8</t>
  </si>
  <si>
    <t>打印耗材月度对比</t>
  </si>
  <si>
    <t>每月分析耗材费用明细</t>
  </si>
  <si>
    <t>需采购使用记录</t>
  </si>
  <si>
    <t>形成《月度耗材费用对比表》</t>
  </si>
  <si>
    <t>3.9</t>
  </si>
  <si>
    <t>Q3中期总结</t>
  </si>
  <si>
    <t>10月第1周</t>
  </si>
  <si>
    <t>汇总前9个月实际支出</t>
  </si>
  <si>
    <t>需Q1-Q3全部数据</t>
  </si>
  <si>
    <t>形成《Q3中期预算执行报告》</t>
  </si>
  <si>
    <t>阶段四：深化管控与年终冲刺阶段（2026年10月-12月）</t>
  </si>
  <si>
    <t>4.1</t>
  </si>
  <si>
    <t>Q4预算红线预警</t>
  </si>
  <si>
    <t>核算各科目已用/剩余预算</t>
  </si>
  <si>
    <t>需Q1-Q3数据+Q4预算</t>
  </si>
  <si>
    <t>形成《Q4预算预警清单》</t>
  </si>
  <si>
    <t>4.2</t>
  </si>
  <si>
    <t>年度商会复盘</t>
  </si>
  <si>
    <t>10月第2-3周</t>
  </si>
  <si>
    <t>对每家商会打分</t>
  </si>
  <si>
    <t>需6月评估表</t>
  </si>
  <si>
    <t>形成《商会年度评估打分表》</t>
  </si>
  <si>
    <t>4.3</t>
  </si>
  <si>
    <t>年度水电效果评估</t>
  </si>
  <si>
    <t>11月第2-3周</t>
  </si>
  <si>
    <t>汇总全年水电费实际支出</t>
  </si>
  <si>
    <t>需全年水电费数据</t>
  </si>
  <si>
    <t>形成《年度水电节能效果评估》</t>
  </si>
  <si>
    <t>4.4</t>
  </si>
  <si>
    <t>安全生产年终总结</t>
  </si>
  <si>
    <t>12月第2-3周</t>
  </si>
  <si>
    <t>汇总全年工伤事故和费用</t>
  </si>
  <si>
    <t>需全年工伤台账</t>
  </si>
  <si>
    <t>形成《年度安全生产总结报告》</t>
  </si>
  <si>
    <t>4.5</t>
  </si>
  <si>
    <t>Q4费用执行分析</t>
  </si>
  <si>
    <t>12月第4周</t>
  </si>
  <si>
    <t>汇总Q4各科目实际支出与预算对比</t>
  </si>
  <si>
    <t>需Q4实际数据</t>
  </si>
  <si>
    <t>形成《Q4预算执行分析报告》</t>
  </si>
  <si>
    <t>阶段五：总结评估与下年规划阶段（2027年1月-3月）</t>
  </si>
  <si>
    <t>5.1</t>
  </si>
  <si>
    <t>年度预算执行总报告</t>
  </si>
  <si>
    <t>1月第2-3周</t>
  </si>
  <si>
    <t>汇总全年12个月各科目实际支出</t>
  </si>
  <si>
    <t>需全年12个月数据</t>
  </si>
  <si>
    <t>形成《年度预算执行总结报告》</t>
  </si>
  <si>
    <t>5.2</t>
  </si>
  <si>
    <t>降费措施效果复盘</t>
  </si>
  <si>
    <t>1月第3-4周</t>
  </si>
  <si>
    <t>逐项评估降费措施节约金额</t>
  </si>
  <si>
    <t>需各项措施执行记录</t>
  </si>
  <si>
    <t>形成《降费措施效果评估表》</t>
  </si>
  <si>
    <t>5.3</t>
  </si>
  <si>
    <t>2027-28年度预算建议</t>
  </si>
  <si>
    <t>2月第1-3周</t>
  </si>
  <si>
    <t>提出下年度预算建议</t>
  </si>
  <si>
    <t>需本年度全部数据</t>
  </si>
  <si>
    <t>形成《2027-28年度预算建议》</t>
  </si>
  <si>
    <t>5.4</t>
  </si>
  <si>
    <t>制度文件归档与修订</t>
  </si>
  <si>
    <t>文控</t>
  </si>
  <si>
    <t>2月末-3月第1周</t>
  </si>
  <si>
    <t>新建制度文件归档并修订</t>
  </si>
  <si>
    <t>需各制度执行反馈</t>
  </si>
  <si>
    <t>完成制度文件归档和修订</t>
  </si>
  <si>
    <t>5.5</t>
  </si>
  <si>
    <t>光伏项目推进</t>
  </si>
  <si>
    <t>部长/综合项目管理处</t>
  </si>
  <si>
    <t>2月-3月</t>
  </si>
  <si>
    <t>如评估可行，启动光伏安装</t>
  </si>
  <si>
    <t>需评估报告+公司审批</t>
  </si>
  <si>
    <t>光伏项目完成或启动</t>
  </si>
  <si>
    <t>后勤部2026-27年度降费方案明细</t>
  </si>
  <si>
    <t>一、人员成本控制</t>
  </si>
  <si>
    <t>费用科目</t>
  </si>
  <si>
    <t>2025实际（万元）</t>
  </si>
  <si>
    <t>本年预算（万元）</t>
  </si>
  <si>
    <t>升降幅</t>
  </si>
  <si>
    <t>详细项目</t>
  </si>
  <si>
    <t>类别</t>
  </si>
  <si>
    <t>优先级</t>
  </si>
  <si>
    <t>降费方案/说明</t>
  </si>
  <si>
    <t>-24.1%</t>
  </si>
  <si>
    <t>宝士编制员工应发工资</t>
  </si>
  <si>
    <t>弹性</t>
  </si>
  <si>
    <t>高</t>
  </si>
  <si>
    <t>缩减人员数量（详细计划参考人力资源规划）</t>
  </si>
  <si>
    <t>木工班优化</t>
  </si>
  <si>
    <t>合理安排工作时间，不急的项目集中一天进行</t>
  </si>
  <si>
    <t>-46.4%</t>
  </si>
  <si>
    <t>部门外包人员及木工班工资</t>
  </si>
  <si>
    <t>随编制缩减，外包人员相应减少</t>
  </si>
  <si>
    <t>-48.5%</t>
  </si>
  <si>
    <t>根据在职人员数量发放</t>
  </si>
  <si>
    <t>固定</t>
  </si>
  <si>
    <t>低</t>
  </si>
  <si>
    <t>固定支出，随人员缩减自然降低</t>
  </si>
  <si>
    <t>-66.0%</t>
  </si>
  <si>
    <t>-40.8%</t>
  </si>
  <si>
    <t>员工餐补、误餐费</t>
  </si>
  <si>
    <t>中</t>
  </si>
  <si>
    <t>1、员工合理规划出差时间，尽量避开午休时间出差，造成午餐费支出
2、部门主管审批出差时审核出差时间
3、核对用餐费用与出差任务匹配性，有异常及时上报和调整</t>
  </si>
  <si>
    <t xml:space="preserve">  二、办公与接待费用</t>
  </si>
  <si>
    <t>-35.7%</t>
  </si>
  <si>
    <t>钉钉、金蝶等系统维护、WPS会员续费</t>
  </si>
  <si>
    <t>系统维护费为刚需，可争取续费折扣</t>
  </si>
  <si>
    <t>打印机耗材费用</t>
  </si>
  <si>
    <t>1、使用品牌兼容硒鼓/墨盒，核心设备可保留原装；
2、默认黑白、双面打印，彩色权限仅开放给必要岗位；
3、淘汰老旧高耗能机型，租用高速复合机;
4、每月分析对比费用明</t>
  </si>
  <si>
    <t>打印纸张</t>
  </si>
  <si>
    <t>推行无纸化，流程审批电子化</t>
  </si>
  <si>
    <t>办公文具</t>
  </si>
  <si>
    <t>每月分析对比费用明细</t>
  </si>
  <si>
    <t>清洁物资</t>
  </si>
  <si>
    <t>1、对日常清洁物资使用量进行记录，巡查，有出入及时调整；
2、每周评估用量的合理性，有异常的及时调整</t>
  </si>
  <si>
    <t>-89.2%</t>
  </si>
  <si>
    <t>接待物资：咖啡豆、咖啡杯、乌龙茶等</t>
  </si>
  <si>
    <t>1、逐步取消一次性咖啡杯、一次性茶杯。会议室、接待室统一配置陶瓷公杯、待客玻璃杯，循环使用、保洁清洗，只保留少量一次性杯用于临时外勤、访客带走使用，把一次性杯采购量砍掉 50% 以上；
2、分接待等级定标准：普通日常来访：普通茶水、基础咖啡；重要客户 / 领导来访：中端茶、常规咖啡豆</t>
  </si>
  <si>
    <t xml:space="preserve">  三、差旅与运输费用</t>
  </si>
  <si>
    <t>-7.4%</t>
  </si>
  <si>
    <t>司机出差餐补、停车付费等</t>
  </si>
  <si>
    <t>1、拼车出行，减少出车次数；
2、记录车辆使用情况，每月分析用车频率及成本，优化出行方案</t>
  </si>
  <si>
    <t>-441.4%</t>
  </si>
  <si>
    <t>/</t>
  </si>
  <si>
    <t>1-3月费用均在预算内，后期以控制为主</t>
  </si>
  <si>
    <t xml:space="preserve">  四、维护与安全费用</t>
  </si>
  <si>
    <t>+0.3%</t>
  </si>
  <si>
    <t>各类材料：铜管、门牌、广告牌等</t>
  </si>
  <si>
    <t>严格管控材料领取，尾料评估二次利用</t>
  </si>
  <si>
    <t>-48.3%</t>
  </si>
  <si>
    <t>各类物品损坏的维修</t>
  </si>
  <si>
    <t>1、建立厂区日常巡检保养制度，发现问题当场进行小修小补，不拖成大修、翻新、整体更换，落实预防性保养；
2、划分厂区使用责任区车间、仓库、办公区、宿舍各区域归属对应部门，因使用不当、野蛮搬运、随意打孔、乱拆乱改造成损坏的，由责任部门或个人承担部分维修费用；
3、建立厂区维修费用台账，每笔维修登记：日期、地点、维修项目、服务商、金额、维修原因、是否人为损坏，每月统计各区域维修费高低，对异常偏高的区域重点排查、加强巡检</t>
  </si>
  <si>
    <t>-122.1%</t>
  </si>
  <si>
    <t>事前预防</t>
  </si>
  <si>
    <t>1、部门主管及安全员提高巡查频率，及时发现安全隐患并进行整改不拖成工伤事故；
2、强制劳保用品规范佩戴（尤其是施工及维修现场），现场巡检抓拍、违规当场纠正，杜绝因不戴防护导致的磕碰、割伤、摔伤；
3、严控疲劳作业、违规操作禁止带病上岗、违章蛮干；关键岗位定人定责，减少人为失误造成工伤事故</t>
  </si>
  <si>
    <t>事中管控</t>
  </si>
  <si>
    <t>1、规范就医定点，禁止员工私自去私立医院、高价专科医院，否则超额部分个人自理；
2、第一时间现场处置，避免过度就医，安排专人陪同就医，杜绝乱检查、乱开药、挂无关科室、过度住院，严控医疗费用虚高</t>
  </si>
  <si>
    <t>事后处理</t>
  </si>
  <si>
    <t>1、及时做工伤认定 + 理赔跟进。就诊资料及时齐全上报，尽快走工伤保险基金赔付，能社保报销的绝不部门承担；
2、工伤责任划分，因个人违章操作、不戴劳保、违规作业造成的工伤，制定内部制度：个人承担一定比例自费费用，起到约束作用；
3、建立部门工伤台账：每起事故原因、花费、处理方式、责任人，按月累计费用，接近预算红线立刻加码管控</t>
  </si>
  <si>
    <t>-4.7%</t>
  </si>
  <si>
    <t>保养费</t>
  </si>
  <si>
    <t>1、制定车辆维保手册：按车型、行驶里程明确强制保养项目和非必要项目，禁止修理厂随意推荐额外清洗、养护、换件项目；
2、实行维保事前审批：所有保养、维修必须先报申请：写明里程、故障现象、预估费用、维修项目，审核同意后才能进厂；
3、购买车辆保险时可进行洽谈赠送车辆保养项目，减少自费购买保养项目次数
4、基础保养项目可考虑外部正规车行</t>
  </si>
  <si>
    <t>1、定点 1–2 家正规修理厂 / 4S 店：批量谈协议价：工时费打折、配件拿货价、保养套餐打包价；
2、区分正常损耗与人为损坏：轮胎鼓包、底盘磕碰、玻璃破损、人为操作导致变速箱 / 离合损坏等，划分责任，个人承担部分费用，倒逼规范驾驶；
3常用耗材批量采购：机油、机滤、空滤、雨刮、防冻液等集中囤货，不在修理厂现场高价买，直接降低基础保养成本；
4、能外修不进 4S，能小修不大换：普通故障、老旧车辆优先社会合规修理厂；能维修零部件绝不总成更换，严控过度换件；
5、合理调配用车：短途代步用老旧车，长途、公务出行用车况好的车，减少好车磨损和老车大修</t>
  </si>
  <si>
    <t>-5.7%</t>
  </si>
  <si>
    <t>搬迁后电梯增至35台，需争取批量协议价
但目前电梯维保费用为300/台，考虑预算是否需要调整</t>
  </si>
  <si>
    <t xml:space="preserve">  五、水电费管理（预算增幅最大弹性科目）</t>
  </si>
  <si>
    <t>水电费—水费</t>
  </si>
  <si>
    <t>+38.2%</t>
  </si>
  <si>
    <t>事前</t>
  </si>
  <si>
    <t>查清底账：安装分级水表（总表+车间+重点设备），建立用水台账</t>
  </si>
  <si>
    <t>事中</t>
  </si>
  <si>
    <t>1、查漏与控压：利用水平衡测试或分区计量，夜间闭阀观察总表是否走动（静态测试）。
2、在非关键时段（如夜间）关小阀门降低进水压力，减少爆管和滴漏风险；
3、设备技改：更换节水型水龙头（限流片）</t>
  </si>
  <si>
    <t>事后</t>
  </si>
  <si>
    <t>1、账单复核：核对水费账单中的“污水处理费”和“垃圾处理费”是否按实际用水量正确计算，防止误收
2、每季度做1次暗管网静态测试</t>
  </si>
  <si>
    <t>水电费—电费</t>
  </si>
  <si>
    <t>1、评估增加光伏，发电能减少多少电费；2、评估增加蓄能电站能减少多少电费；
3、空调开启限制，如室外达到多少温度才能自动通电；
4、照明灯、亮度感应通电。如感应到室外照明不足才能开灯或修改照明灯路线目前是一开启就整排都亮；
5、用电设备调整用电时间，区分重要用电或闲置用电，在用电峰谷时保留重要用电</t>
  </si>
  <si>
    <t>1、无功补偿管理：确保功率因数达到0.9以上。检查电容柜是否正常投切（避免罚款），若功率因数&gt;0.95，供电局会减免力调电费（最高减0.75%）
2、负载均衡与避峰：监控三相电流，避免单相过载造成额外损耗。将非紧急生产任务调整至平段/谷段
3、设备行为管理：排查“待机浪费”（如电脑、屏幕夜间不关）、压缩空气泄漏（占电耗20%以上）
4、变压器经济运行：若配置多台变压器，在低负荷时报停一台以减少空载损耗（需提前向供电局申请）</t>
  </si>
  <si>
    <t>账单分析：每月核对基本电费计算方式是否最优（例如，按需量收费时，实际需量是否接近申报值的90%？过低则下月调低申报值）。同时检查力调电费是奖励还是罚款，追溯功率因数不达标原因</t>
  </si>
  <si>
    <t xml:space="preserve">  六、公司级与固定费用</t>
  </si>
  <si>
    <t>-1.9%</t>
  </si>
  <si>
    <t>外包人员保险、财产一切险、车辆保险</t>
  </si>
  <si>
    <t>固定支出，保障类费用不宜压缩</t>
  </si>
  <si>
    <t>-29.3%</t>
  </si>
  <si>
    <t>残保金、工资税费差额、进项税额转出</t>
  </si>
  <si>
    <t>法定支出，按公司员工人数缴纳</t>
  </si>
  <si>
    <t>外包服务费、检测费、商会会费等</t>
  </si>
  <si>
    <t>1、梳理所有商会 / 协会，砍掉 “无效会员”，如：类型重复、长期不互动无效益的商会；
2、严查收费合规性，剔除 “乱收费 / 变相收费”，对每家商会索要：收费项目、服务清单、会费标准依据、票据；
3、建立 “年度复盘” 机制，根据资源对接、信息价值、政策红利、人脉质量、活动参与度、收费合理性等，每年对每家商会打分</t>
  </si>
  <si>
    <t>+28.6%</t>
  </si>
  <si>
    <t>律师费、审计费、管理顾问、汇率避险</t>
  </si>
  <si>
    <t>公司</t>
  </si>
  <si>
    <t>公司级费用，挂在后勤部名下</t>
  </si>
  <si>
    <t>-37.8%</t>
  </si>
  <si>
    <t>体系跟进，公司费用挂在后勤部名下</t>
  </si>
  <si>
    <t>-3.1%</t>
  </si>
  <si>
    <t>根据公司员工总基础工资2%支出</t>
  </si>
  <si>
    <t>固定支出，法定比例缴纳</t>
  </si>
  <si>
    <t>+878.0%</t>
  </si>
  <si>
    <t>非现金支出。新厂区搬迁导致。占全年预算51.67%</t>
  </si>
  <si>
    <t>+748.5%</t>
  </si>
  <si>
    <t>非现金支出。新厂区无形资产摊销增加。占全年预算5.10%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</si>
</sst>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39">
    <font>
      <sz val="11"/>
      <color theme="1"/>
      <name val="宋体"/>
      <charset val="134"/>
      <scheme val="minor"/>
    </font>
    <font>
      <b/>
      <sz val="16"/>
      <name val="汉仪中宋简"/>
      <charset val="134"/>
    </font>
    <font>
      <sz val="11"/>
      <name val="汉仪中宋简"/>
      <charset val="134"/>
    </font>
    <font>
      <b/>
      <sz val="12"/>
      <color rgb="FFFFFFFF"/>
      <name val="Microsoft YaHei"/>
      <charset val="134"/>
    </font>
    <font>
      <b/>
      <sz val="11"/>
      <color rgb="FFFFFFFF"/>
      <name val="Microsoft YaHei"/>
      <charset val="134"/>
    </font>
    <font>
      <sz val="10.5"/>
      <color rgb="FF2C3E50"/>
      <name val="Microsoft YaHei"/>
      <charset val="134"/>
    </font>
    <font>
      <sz val="10.5"/>
      <color rgb="FF27AE60"/>
      <name val="Microsoft YaHei"/>
      <charset val="134"/>
    </font>
    <font>
      <b/>
      <sz val="10.5"/>
      <color rgb="FFE74C3C"/>
      <name val="Microsoft YaHei"/>
      <charset val="134"/>
    </font>
    <font>
      <sz val="10.5"/>
      <color rgb="FFF39C12"/>
      <name val="Microsoft YaHei"/>
      <charset val="134"/>
    </font>
    <font>
      <sz val="10.5"/>
      <color rgb="FFE74C3C"/>
      <name val="Microsoft YaHei"/>
      <charset val="134"/>
    </font>
    <font>
      <b/>
      <sz val="16"/>
      <name val="黑体"/>
      <charset val="134"/>
    </font>
    <font>
      <sz val="11"/>
      <name val="黑体"/>
      <charset val="134"/>
    </font>
    <font>
      <b/>
      <sz val="14"/>
      <color rgb="FFFFFFFF"/>
      <name val="Microsoft YaHei"/>
      <charset val="134"/>
    </font>
    <font>
      <b/>
      <sz val="16"/>
      <color theme="1"/>
      <name val="黑体"/>
      <charset val="134"/>
    </font>
    <font>
      <b/>
      <sz val="14"/>
      <color theme="1"/>
      <name val="黑体"/>
      <charset val="134"/>
    </font>
    <font>
      <b/>
      <sz val="11"/>
      <color theme="1"/>
      <name val="宋体"/>
      <charset val="134"/>
      <scheme val="minor"/>
    </font>
    <font>
      <sz val="9"/>
      <color theme="1"/>
      <name val="宋体"/>
      <charset val="134"/>
      <scheme val="minor"/>
    </font>
    <font>
      <sz val="9"/>
      <color theme="1"/>
      <name val="宋体"/>
      <charset val="134"/>
    </font>
    <font>
      <sz val="9"/>
      <name val="宋体"/>
      <charset val="1"/>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
    </font>
  </fonts>
  <fills count="40">
    <fill>
      <patternFill patternType="none"/>
    </fill>
    <fill>
      <patternFill patternType="gray125"/>
    </fill>
    <fill>
      <patternFill patternType="solid">
        <fgColor rgb="FF2C5F8A"/>
        <bgColor indexed="64"/>
      </patternFill>
    </fill>
    <fill>
      <patternFill patternType="solid">
        <fgColor rgb="FF1A3A5C"/>
        <bgColor indexed="64"/>
      </patternFill>
    </fill>
    <fill>
      <patternFill patternType="solid">
        <fgColor theme="7" tint="0.8"/>
        <bgColor indexed="64"/>
      </patternFill>
    </fill>
    <fill>
      <patternFill patternType="solid">
        <fgColor theme="7" tint="-0.25"/>
        <bgColor indexed="64"/>
      </patternFill>
    </fill>
    <fill>
      <patternFill patternType="solid">
        <fgColor theme="3" tint="0.4"/>
        <bgColor indexed="64"/>
      </patternFill>
    </fill>
    <fill>
      <patternFill patternType="solid">
        <fgColor theme="9"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DCE3EB"/>
      </left>
      <right style="thin">
        <color rgb="FFDCE3EB"/>
      </right>
      <top style="thin">
        <color rgb="FFDCE3EB"/>
      </top>
      <bottom style="thin">
        <color rgb="FFDCE3EB"/>
      </bottom>
      <diagonal/>
    </border>
    <border>
      <left style="thin">
        <color auto="1"/>
      </left>
      <right style="thin">
        <color auto="1"/>
      </right>
      <top style="thin">
        <color rgb="FFDCE3EB"/>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9" borderId="1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3" applyNumberFormat="0" applyFill="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6" fillId="0" borderId="0" applyNumberFormat="0" applyFill="0" applyBorder="0" applyAlignment="0" applyProtection="0">
      <alignment vertical="center"/>
    </xf>
    <xf numFmtId="0" fontId="27" fillId="10" borderId="15" applyNumberFormat="0" applyAlignment="0" applyProtection="0">
      <alignment vertical="center"/>
    </xf>
    <xf numFmtId="0" fontId="28" fillId="11" borderId="16" applyNumberFormat="0" applyAlignment="0" applyProtection="0">
      <alignment vertical="center"/>
    </xf>
    <xf numFmtId="0" fontId="29" fillId="11" borderId="15" applyNumberFormat="0" applyAlignment="0" applyProtection="0">
      <alignment vertical="center"/>
    </xf>
    <xf numFmtId="0" fontId="30" fillId="12" borderId="17" applyNumberFormat="0" applyAlignment="0" applyProtection="0">
      <alignment vertical="center"/>
    </xf>
    <xf numFmtId="0" fontId="31" fillId="0" borderId="18" applyNumberFormat="0" applyFill="0" applyAlignment="0" applyProtection="0">
      <alignment vertical="center"/>
    </xf>
    <xf numFmtId="0" fontId="32" fillId="0" borderId="19"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8" fillId="0" borderId="0">
      <alignment vertical="top"/>
      <protection locked="0"/>
    </xf>
  </cellStyleXfs>
  <cellXfs count="69">
    <xf numFmtId="0" fontId="0" fillId="0" borderId="0" xfId="0">
      <alignment vertical="center"/>
    </xf>
    <xf numFmtId="0" fontId="0" fillId="0" borderId="0" xfId="0" applyFont="1" applyFill="1" applyAlignment="1"/>
    <xf numFmtId="0" fontId="1" fillId="0" borderId="1" xfId="0" applyFont="1" applyFill="1" applyBorder="1" applyAlignment="1">
      <alignment horizontal="center" vertical="center" wrapText="1"/>
    </xf>
    <xf numFmtId="0" fontId="2" fillId="0" borderId="1" xfId="0" applyFont="1" applyFill="1" applyBorder="1" applyAlignment="1"/>
    <xf numFmtId="0" fontId="3" fillId="2" borderId="1" xfId="0" applyFont="1" applyFill="1" applyBorder="1" applyAlignment="1">
      <alignment horizontal="left" vertical="center" wrapText="1"/>
    </xf>
    <xf numFmtId="0" fontId="0" fillId="2" borderId="1" xfId="0" applyFont="1" applyFill="1" applyBorder="1" applyAlignment="1"/>
    <xf numFmtId="0" fontId="4" fillId="3" borderId="1" xfId="0" applyFont="1" applyFill="1" applyBorder="1" applyAlignment="1">
      <alignment horizontal="center" vertical="center" wrapText="1"/>
    </xf>
    <xf numFmtId="0" fontId="5" fillId="0" borderId="2" xfId="0" applyFont="1" applyFill="1" applyBorder="1" applyAlignment="1">
      <alignment horizontal="center" vertical="center"/>
    </xf>
    <xf numFmtId="4" fontId="5" fillId="0" borderId="2" xfId="0" applyNumberFormat="1" applyFont="1" applyFill="1" applyBorder="1" applyAlignment="1">
      <alignment horizontal="center" vertical="center"/>
    </xf>
    <xf numFmtId="0" fontId="6"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7" fillId="0" borderId="2" xfId="0" applyFont="1" applyFill="1" applyBorder="1" applyAlignment="1">
      <alignment horizontal="center" vertical="center"/>
    </xf>
    <xf numFmtId="0" fontId="5" fillId="0" borderId="3" xfId="0" applyFont="1" applyFill="1" applyBorder="1" applyAlignment="1">
      <alignment horizontal="center" vertical="center"/>
    </xf>
    <xf numFmtId="4" fontId="5" fillId="0" borderId="3"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5" fillId="0" borderId="3" xfId="0" applyFont="1" applyFill="1" applyBorder="1" applyAlignment="1">
      <alignment horizontal="center" vertical="center" wrapText="1"/>
    </xf>
    <xf numFmtId="0" fontId="7" fillId="0" borderId="3" xfId="0" applyFont="1" applyFill="1" applyBorder="1" applyAlignment="1">
      <alignment horizontal="center" vertical="center"/>
    </xf>
    <xf numFmtId="0" fontId="8" fillId="0" borderId="3" xfId="0" applyFont="1" applyFill="1" applyBorder="1" applyAlignment="1">
      <alignment horizontal="center" vertical="center"/>
    </xf>
    <xf numFmtId="0" fontId="5" fillId="0" borderId="3" xfId="0" applyFont="1" applyFill="1" applyBorder="1" applyAlignment="1">
      <alignment horizontal="left" vertical="center" wrapText="1"/>
    </xf>
    <xf numFmtId="0" fontId="8"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9" fillId="0" borderId="2" xfId="0" applyFont="1" applyFill="1" applyBorder="1" applyAlignment="1">
      <alignment horizontal="center" vertical="center"/>
    </xf>
    <xf numFmtId="0" fontId="5" fillId="4" borderId="3" xfId="0" applyFont="1" applyFill="1" applyBorder="1" applyAlignment="1">
      <alignment horizontal="center" vertical="center"/>
    </xf>
    <xf numFmtId="0" fontId="9" fillId="0" borderId="3" xfId="0" applyFont="1" applyFill="1" applyBorder="1" applyAlignment="1">
      <alignment horizontal="center" vertical="center"/>
    </xf>
    <xf numFmtId="0" fontId="10" fillId="0" borderId="1" xfId="0" applyFont="1" applyFill="1" applyBorder="1" applyAlignment="1">
      <alignment horizontal="center" vertical="center" wrapText="1"/>
    </xf>
    <xf numFmtId="0" fontId="11" fillId="0" borderId="1" xfId="0" applyFont="1" applyFill="1" applyBorder="1" applyAlignment="1"/>
    <xf numFmtId="0" fontId="12" fillId="5" borderId="1" xfId="0" applyFont="1" applyFill="1" applyBorder="1" applyAlignment="1">
      <alignment horizontal="left" vertical="center" wrapText="1"/>
    </xf>
    <xf numFmtId="0" fontId="0" fillId="5" borderId="1" xfId="0" applyFont="1" applyFill="1" applyBorder="1" applyAlignment="1"/>
    <xf numFmtId="0" fontId="13" fillId="0" borderId="0" xfId="0" applyFont="1" applyAlignment="1">
      <alignment horizontal="center" vertical="center"/>
    </xf>
    <xf numFmtId="0" fontId="14" fillId="6" borderId="0" xfId="0" applyFont="1" applyFill="1" applyAlignment="1">
      <alignment horizontal="left" vertical="center"/>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7" borderId="3" xfId="0" applyFill="1" applyBorder="1" applyAlignment="1">
      <alignment horizontal="center" vertical="center" wrapText="1"/>
    </xf>
    <xf numFmtId="10" fontId="0" fillId="0" borderId="3" xfId="0" applyNumberFormat="1" applyBorder="1" applyAlignment="1">
      <alignment horizontal="center" vertical="center" wrapText="1"/>
    </xf>
    <xf numFmtId="0" fontId="0" fillId="0" borderId="9" xfId="0" applyBorder="1" applyAlignment="1">
      <alignment horizontal="center" vertical="center" wrapText="1"/>
    </xf>
    <xf numFmtId="0" fontId="0" fillId="0" borderId="10" xfId="0" applyFont="1"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0" xfId="0" applyBorder="1" applyAlignment="1">
      <alignment vertical="center" wrapText="1"/>
    </xf>
    <xf numFmtId="0" fontId="0" fillId="0" borderId="3" xfId="0" applyFont="1" applyBorder="1" applyAlignment="1">
      <alignment horizontal="left" vertical="center" wrapText="1"/>
    </xf>
    <xf numFmtId="0" fontId="0" fillId="0" borderId="8" xfId="0" applyFont="1" applyBorder="1" applyAlignment="1">
      <alignment horizontal="left" vertical="center" wrapText="1"/>
    </xf>
    <xf numFmtId="0" fontId="15" fillId="0" borderId="3" xfId="0" applyFont="1" applyBorder="1" applyAlignment="1">
      <alignment horizontal="center" vertical="center" wrapText="1"/>
    </xf>
    <xf numFmtId="0" fontId="0" fillId="0" borderId="3" xfId="0" applyBorder="1" applyAlignment="1">
      <alignment horizontal="left" vertical="center" wrapText="1"/>
    </xf>
    <xf numFmtId="0" fontId="0" fillId="0" borderId="8" xfId="0" applyBorder="1" applyAlignment="1">
      <alignment horizontal="left" vertical="center" wrapText="1"/>
    </xf>
    <xf numFmtId="0" fontId="0" fillId="0" borderId="3" xfId="0" applyFont="1" applyBorder="1" applyAlignment="1">
      <alignment horizontal="center" vertical="center" wrapText="1"/>
    </xf>
    <xf numFmtId="0" fontId="15" fillId="0" borderId="10" xfId="0" applyFont="1" applyBorder="1" applyAlignment="1">
      <alignment horizontal="center" vertical="center" wrapText="1"/>
    </xf>
    <xf numFmtId="0" fontId="0" fillId="0" borderId="11" xfId="0" applyFont="1" applyBorder="1" applyAlignment="1">
      <alignment horizontal="left" vertical="center" wrapText="1"/>
    </xf>
    <xf numFmtId="0" fontId="0" fillId="8" borderId="7" xfId="0" applyFill="1" applyBorder="1" applyAlignment="1">
      <alignment horizontal="center" vertical="center" wrapText="1"/>
    </xf>
    <xf numFmtId="0" fontId="0" fillId="8" borderId="3" xfId="0" applyFill="1" applyBorder="1" applyAlignment="1">
      <alignment horizontal="center" vertical="center" wrapText="1"/>
    </xf>
    <xf numFmtId="10" fontId="0" fillId="8" borderId="3" xfId="0" applyNumberFormat="1" applyFill="1" applyBorder="1" applyAlignment="1">
      <alignment horizontal="center" vertical="center" wrapText="1"/>
    </xf>
    <xf numFmtId="0" fontId="0" fillId="8" borderId="8" xfId="0" applyFill="1" applyBorder="1" applyAlignment="1">
      <alignment horizontal="center" vertical="center" wrapText="1"/>
    </xf>
    <xf numFmtId="0" fontId="0" fillId="8" borderId="9" xfId="0" applyFill="1" applyBorder="1" applyAlignment="1">
      <alignment horizontal="center" vertical="center" wrapText="1"/>
    </xf>
    <xf numFmtId="0" fontId="0" fillId="8" borderId="10" xfId="0" applyFill="1" applyBorder="1" applyAlignment="1">
      <alignment horizontal="center" vertical="center" wrapText="1"/>
    </xf>
    <xf numFmtId="10" fontId="0" fillId="8" borderId="10" xfId="0" applyNumberFormat="1" applyFill="1" applyBorder="1" applyAlignment="1">
      <alignment horizontal="center" vertical="center" wrapText="1"/>
    </xf>
    <xf numFmtId="0" fontId="0" fillId="8" borderId="11" xfId="0" applyFill="1" applyBorder="1" applyAlignment="1">
      <alignment horizontal="center" vertical="center" wrapText="1"/>
    </xf>
    <xf numFmtId="0" fontId="0" fillId="0" borderId="0" xfId="0" applyAlignment="1">
      <alignment horizontal="center" vertical="center"/>
    </xf>
    <xf numFmtId="0" fontId="16" fillId="0" borderId="3" xfId="0" applyFont="1" applyFill="1" applyBorder="1" applyAlignment="1">
      <alignment horizontal="center" vertical="center" wrapText="1"/>
    </xf>
    <xf numFmtId="0" fontId="16" fillId="0" borderId="3" xfId="0" applyFont="1" applyFill="1" applyBorder="1" applyAlignment="1">
      <alignment horizontal="center" vertical="center"/>
    </xf>
    <xf numFmtId="0" fontId="17" fillId="0" borderId="3" xfId="0" applyFont="1" applyFill="1" applyBorder="1" applyAlignment="1">
      <alignment horizontal="center" vertical="center" wrapText="1"/>
    </xf>
    <xf numFmtId="0" fontId="17" fillId="0" borderId="3" xfId="0" applyFont="1" applyFill="1" applyBorder="1" applyAlignment="1">
      <alignment horizontal="center" vertical="center"/>
    </xf>
    <xf numFmtId="0" fontId="18" fillId="0" borderId="3" xfId="49" applyFont="1" applyFill="1" applyBorder="1" applyAlignment="1" applyProtection="1">
      <alignment horizontal="center" vertical="center"/>
      <protection locked="0"/>
    </xf>
    <xf numFmtId="43" fontId="17" fillId="0" borderId="3" xfId="0" applyNumberFormat="1" applyFont="1" applyFill="1" applyBorder="1" applyAlignment="1">
      <alignment horizontal="center" vertical="center" wrapText="1"/>
    </xf>
    <xf numFmtId="43" fontId="17" fillId="0" borderId="3" xfId="0" applyNumberFormat="1" applyFont="1" applyFill="1" applyBorder="1" applyAlignment="1">
      <alignment horizontal="center" vertical="center"/>
    </xf>
    <xf numFmtId="43" fontId="18" fillId="0" borderId="3" xfId="49" applyNumberFormat="1" applyFont="1" applyFill="1" applyBorder="1" applyAlignment="1" applyProtection="1">
      <alignment horizontal="center" vertical="center"/>
      <protection locked="0"/>
    </xf>
    <xf numFmtId="176" fontId="0" fillId="0" borderId="0" xfId="0" applyNumberFormat="1" applyAlignment="1">
      <alignment horizontal="center" vertical="center"/>
    </xf>
    <xf numFmtId="0" fontId="16" fillId="0" borderId="3" xfId="0" applyFont="1" applyFill="1" applyBorder="1" applyAlignment="1" quotePrefix="1">
      <alignment horizontal="center" vertical="center"/>
    </xf>
    <xf numFmtId="0" fontId="17" fillId="0" borderId="3" xfId="0" applyFont="1" applyFill="1" applyBorder="1" applyAlignment="1" quotePrefix="1">
      <alignment horizontal="center" vertical="center" wrapText="1"/>
    </xf>
    <xf numFmtId="0" fontId="17" fillId="0" borderId="3" xfId="0" applyFont="1" applyFill="1" applyBorder="1" applyAlignment="1" quotePrefix="1">
      <alignment horizontal="center" vertical="center"/>
    </xf>
    <xf numFmtId="43" fontId="17" fillId="0" borderId="3" xfId="0" applyNumberFormat="1" applyFont="1" applyFill="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O29"/>
  <sheetViews>
    <sheetView zoomScale="90" zoomScaleNormal="90" workbookViewId="0">
      <pane xSplit="1" ySplit="2" topLeftCell="C3" activePane="bottomRight" state="frozen"/>
      <selection/>
      <selection pane="topRight"/>
      <selection pane="bottomLeft"/>
      <selection pane="bottomRight" activeCell="E4" sqref="E4"/>
    </sheetView>
  </sheetViews>
  <sheetFormatPr defaultColWidth="9" defaultRowHeight="14.4"/>
  <cols>
    <col min="1" max="1" width="13.1111111111111" style="59" customWidth="1"/>
    <col min="2" max="14" width="14.4444444444444" style="59" customWidth="1"/>
    <col min="15" max="15" width="15.4444444444444" style="59" customWidth="1"/>
    <col min="16" max="16384" width="9" style="59"/>
  </cols>
  <sheetData>
    <row r="1" ht="20" customHeight="1" spans="1:15">
      <c r="A1" s="60" t="s">
        <v>0</v>
      </c>
      <c r="B1" s="69" t="s">
        <v>1</v>
      </c>
      <c r="C1" s="69" t="s">
        <v>2</v>
      </c>
      <c r="D1" s="69" t="s">
        <v>3</v>
      </c>
      <c r="E1" s="69" t="s">
        <v>4</v>
      </c>
      <c r="F1" s="69" t="s">
        <v>5</v>
      </c>
      <c r="G1" s="69" t="s">
        <v>6</v>
      </c>
      <c r="H1" s="69" t="s">
        <v>7</v>
      </c>
      <c r="I1" s="69" t="s">
        <v>8</v>
      </c>
      <c r="J1" s="69" t="s">
        <v>9</v>
      </c>
      <c r="K1" s="69" t="s">
        <v>10</v>
      </c>
      <c r="L1" s="69" t="s">
        <v>11</v>
      </c>
      <c r="M1" s="69" t="s">
        <v>12</v>
      </c>
      <c r="N1" s="61" t="s">
        <v>13</v>
      </c>
      <c r="O1" s="61" t="s">
        <v>14</v>
      </c>
    </row>
    <row r="2" ht="20" customHeight="1" spans="1:15">
      <c r="A2" s="70" t="s">
        <v>15</v>
      </c>
      <c r="B2" s="71" t="s">
        <v>16</v>
      </c>
      <c r="C2" s="71" t="s">
        <v>16</v>
      </c>
      <c r="D2" s="71" t="s">
        <v>16</v>
      </c>
      <c r="E2" s="71" t="s">
        <v>16</v>
      </c>
      <c r="F2" s="71" t="s">
        <v>16</v>
      </c>
      <c r="G2" s="71" t="s">
        <v>16</v>
      </c>
      <c r="H2" s="71" t="s">
        <v>16</v>
      </c>
      <c r="I2" s="71" t="s">
        <v>16</v>
      </c>
      <c r="J2" s="71" t="s">
        <v>16</v>
      </c>
      <c r="K2" s="71" t="s">
        <v>16</v>
      </c>
      <c r="L2" s="64" t="s">
        <v>16</v>
      </c>
      <c r="M2" s="64" t="s">
        <v>16</v>
      </c>
      <c r="N2" s="61"/>
      <c r="O2" s="61"/>
    </row>
    <row r="3" ht="20" customHeight="1" spans="1:15">
      <c r="A3" s="72" t="s">
        <v>17</v>
      </c>
      <c r="B3" s="66">
        <f>393531.23+35685</f>
        <v>429216.23</v>
      </c>
      <c r="C3" s="66">
        <f>426382.31+41217.17</f>
        <v>467599.48</v>
      </c>
      <c r="D3" s="66">
        <v>408597.83</v>
      </c>
      <c r="E3" s="66">
        <v>257376.706666667</v>
      </c>
      <c r="F3" s="66">
        <v>257376.706666667</v>
      </c>
      <c r="G3" s="66">
        <v>257376.706666667</v>
      </c>
      <c r="H3" s="66">
        <v>257376.706666667</v>
      </c>
      <c r="I3" s="66">
        <v>257376.706666667</v>
      </c>
      <c r="J3" s="66">
        <v>257376.706666667</v>
      </c>
      <c r="K3" s="66">
        <v>257376.706666667</v>
      </c>
      <c r="L3" s="67">
        <v>257376.706666667</v>
      </c>
      <c r="M3" s="67">
        <v>257376.706666667</v>
      </c>
      <c r="N3" s="67">
        <f t="shared" ref="N3:N24" si="0">SUM(B3:M3)</f>
        <v>3621803.9</v>
      </c>
      <c r="O3" s="67">
        <f>3250000+605824.36-234020.459999993</f>
        <v>3621803.90000001</v>
      </c>
    </row>
    <row r="4" ht="20" customHeight="1" spans="1:15">
      <c r="A4" s="72" t="s">
        <v>18</v>
      </c>
      <c r="B4" s="66">
        <f>107459+34472.97</f>
        <v>141931.97</v>
      </c>
      <c r="C4" s="66">
        <f>38076.68+34464.75</f>
        <v>72541.43</v>
      </c>
      <c r="D4" s="66">
        <f>154251.32+31464.75</f>
        <v>185716.07</v>
      </c>
      <c r="E4" s="66">
        <v>99978.9477777778</v>
      </c>
      <c r="F4" s="66">
        <v>99978.9477777778</v>
      </c>
      <c r="G4" s="66">
        <v>99978.9477777778</v>
      </c>
      <c r="H4" s="66">
        <v>99978.9477777778</v>
      </c>
      <c r="I4" s="66">
        <v>99978.9477777778</v>
      </c>
      <c r="J4" s="66">
        <v>99978.9477777778</v>
      </c>
      <c r="K4" s="66">
        <v>99978.9477777778</v>
      </c>
      <c r="L4" s="67">
        <v>99978.9477777778</v>
      </c>
      <c r="M4" s="67">
        <v>99978.9477777778</v>
      </c>
      <c r="N4" s="67">
        <f t="shared" si="0"/>
        <v>1300000</v>
      </c>
      <c r="O4" s="67">
        <v>1300000</v>
      </c>
    </row>
    <row r="5" ht="20" customHeight="1" spans="1:15">
      <c r="A5" s="72" t="s">
        <v>19</v>
      </c>
      <c r="B5" s="66">
        <f>59405+5585.94</f>
        <v>64990.94</v>
      </c>
      <c r="C5" s="66">
        <v>59881.09</v>
      </c>
      <c r="D5" s="66">
        <v>60493.74</v>
      </c>
      <c r="E5" s="66">
        <v>23848.2477777778</v>
      </c>
      <c r="F5" s="66">
        <v>23848.2477777778</v>
      </c>
      <c r="G5" s="66">
        <v>23848.2477777778</v>
      </c>
      <c r="H5" s="66">
        <v>23848.2477777778</v>
      </c>
      <c r="I5" s="66">
        <v>23848.2477777778</v>
      </c>
      <c r="J5" s="66">
        <v>23848.2477777778</v>
      </c>
      <c r="K5" s="66">
        <v>23848.2477777778</v>
      </c>
      <c r="L5" s="67">
        <v>23848.2477777778</v>
      </c>
      <c r="M5" s="67">
        <v>23848.2477777778</v>
      </c>
      <c r="N5" s="67">
        <f t="shared" si="0"/>
        <v>400000</v>
      </c>
      <c r="O5" s="67">
        <v>400000</v>
      </c>
    </row>
    <row r="6" ht="20" customHeight="1" spans="1:15">
      <c r="A6" s="72" t="s">
        <v>20</v>
      </c>
      <c r="B6" s="66">
        <f>5022+465</f>
        <v>5487</v>
      </c>
      <c r="C6" s="66">
        <v>5115</v>
      </c>
      <c r="D6" s="66">
        <v>5115</v>
      </c>
      <c r="E6" s="66">
        <v>1587</v>
      </c>
      <c r="F6" s="66">
        <v>1587</v>
      </c>
      <c r="G6" s="66">
        <v>1587</v>
      </c>
      <c r="H6" s="66">
        <v>1587</v>
      </c>
      <c r="I6" s="66">
        <v>1587</v>
      </c>
      <c r="J6" s="66">
        <v>1587</v>
      </c>
      <c r="K6" s="66">
        <v>1587</v>
      </c>
      <c r="L6" s="67">
        <v>1587</v>
      </c>
      <c r="M6" s="67">
        <v>1587</v>
      </c>
      <c r="N6" s="67">
        <f t="shared" si="0"/>
        <v>30000</v>
      </c>
      <c r="O6" s="67">
        <v>30000</v>
      </c>
    </row>
    <row r="7" ht="20" customHeight="1" spans="1:15">
      <c r="A7" s="72" t="s">
        <v>21</v>
      </c>
      <c r="B7" s="66">
        <f>16665.91+1704.61</f>
        <v>18370.52</v>
      </c>
      <c r="C7" s="66">
        <f>10278.19+347.75</f>
        <v>10625.94</v>
      </c>
      <c r="D7" s="66">
        <f>16308.62+2800.5+538.3</f>
        <v>19647.42</v>
      </c>
      <c r="E7" s="66">
        <v>11261.7911111111</v>
      </c>
      <c r="F7" s="66">
        <v>11261.7911111111</v>
      </c>
      <c r="G7" s="66">
        <v>11261.7911111111</v>
      </c>
      <c r="H7" s="66">
        <v>11261.7911111111</v>
      </c>
      <c r="I7" s="66">
        <v>11261.7911111111</v>
      </c>
      <c r="J7" s="66">
        <v>11261.7911111111</v>
      </c>
      <c r="K7" s="66">
        <v>11261.7911111111</v>
      </c>
      <c r="L7" s="67">
        <v>11261.7911111111</v>
      </c>
      <c r="M7" s="67">
        <v>11261.7911111111</v>
      </c>
      <c r="N7" s="67">
        <f t="shared" si="0"/>
        <v>150000</v>
      </c>
      <c r="O7" s="67">
        <v>150000</v>
      </c>
    </row>
    <row r="8" ht="20" customHeight="1" spans="1:15">
      <c r="A8" s="72" t="s">
        <v>22</v>
      </c>
      <c r="B8" s="66">
        <v>343</v>
      </c>
      <c r="C8" s="66">
        <f>506.89+598</f>
        <v>1104.89</v>
      </c>
      <c r="D8" s="66">
        <v>2194.96</v>
      </c>
      <c r="E8" s="66">
        <v>1261.90555555556</v>
      </c>
      <c r="F8" s="66">
        <v>1261.90555555556</v>
      </c>
      <c r="G8" s="66">
        <v>1261.90555555556</v>
      </c>
      <c r="H8" s="66">
        <v>1261.90555555556</v>
      </c>
      <c r="I8" s="66">
        <v>1261.90555555556</v>
      </c>
      <c r="J8" s="66">
        <v>1261.90555555556</v>
      </c>
      <c r="K8" s="66">
        <v>1261.90555555556</v>
      </c>
      <c r="L8" s="67">
        <v>1261.90555555556</v>
      </c>
      <c r="M8" s="67">
        <v>1261.90555555556</v>
      </c>
      <c r="N8" s="67">
        <f t="shared" si="0"/>
        <v>15000</v>
      </c>
      <c r="O8" s="67">
        <v>15000</v>
      </c>
    </row>
    <row r="9" ht="20" customHeight="1" spans="1:15">
      <c r="A9" s="72" t="s">
        <v>23</v>
      </c>
      <c r="B9" s="66">
        <f>11941.54+48.57</f>
        <v>11990.11</v>
      </c>
      <c r="C9" s="66">
        <f>5054.3+788.97</f>
        <v>5843.27</v>
      </c>
      <c r="D9" s="66">
        <v>14007.73</v>
      </c>
      <c r="E9" s="66">
        <v>6462.09888888889</v>
      </c>
      <c r="F9" s="66">
        <v>6462.09888888889</v>
      </c>
      <c r="G9" s="66">
        <v>6462.09888888889</v>
      </c>
      <c r="H9" s="66">
        <v>6462.09888888889</v>
      </c>
      <c r="I9" s="66">
        <v>6462.09888888889</v>
      </c>
      <c r="J9" s="66">
        <v>6462.09888888889</v>
      </c>
      <c r="K9" s="66">
        <v>6462.09888888889</v>
      </c>
      <c r="L9" s="67">
        <v>6462.09888888889</v>
      </c>
      <c r="M9" s="67">
        <v>6462.09888888889</v>
      </c>
      <c r="N9" s="67">
        <f t="shared" si="0"/>
        <v>90000</v>
      </c>
      <c r="O9" s="67">
        <v>90000</v>
      </c>
    </row>
    <row r="10" ht="20" customHeight="1" spans="1:15">
      <c r="A10" s="72" t="s">
        <v>24</v>
      </c>
      <c r="B10" s="66">
        <f>1772.69999999999+335.09</f>
        <v>2107.78999999999</v>
      </c>
      <c r="C10" s="66">
        <f>2002.97+8961.99</f>
        <v>10964.96</v>
      </c>
      <c r="D10" s="66">
        <f>3172.96+1415.09+206.34</f>
        <v>4794.39</v>
      </c>
      <c r="E10" s="66">
        <v>8014.76222222222</v>
      </c>
      <c r="F10" s="66">
        <v>8014.76222222222</v>
      </c>
      <c r="G10" s="66">
        <v>8014.76222222222</v>
      </c>
      <c r="H10" s="66">
        <v>8014.76222222222</v>
      </c>
      <c r="I10" s="66">
        <v>8014.76222222222</v>
      </c>
      <c r="J10" s="66">
        <v>8014.76222222222</v>
      </c>
      <c r="K10" s="66">
        <v>8014.76222222222</v>
      </c>
      <c r="L10" s="67">
        <v>8014.76222222222</v>
      </c>
      <c r="M10" s="67">
        <v>8014.76222222222</v>
      </c>
      <c r="N10" s="67">
        <f t="shared" si="0"/>
        <v>90000</v>
      </c>
      <c r="O10" s="67">
        <v>90000</v>
      </c>
    </row>
    <row r="11" ht="20" customHeight="1" spans="1:15">
      <c r="A11" s="72" t="s">
        <v>25</v>
      </c>
      <c r="B11" s="66">
        <f>286.97-1.8</f>
        <v>285.17</v>
      </c>
      <c r="C11" s="66">
        <v>292.96</v>
      </c>
      <c r="D11" s="66">
        <v>205.65</v>
      </c>
      <c r="E11" s="66">
        <v>246.246666666667</v>
      </c>
      <c r="F11" s="66">
        <v>246.246666666667</v>
      </c>
      <c r="G11" s="66">
        <v>246.246666666667</v>
      </c>
      <c r="H11" s="66">
        <v>246.246666666667</v>
      </c>
      <c r="I11" s="66">
        <v>246.246666666667</v>
      </c>
      <c r="J11" s="66">
        <v>246.246666666667</v>
      </c>
      <c r="K11" s="66">
        <v>246.246666666667</v>
      </c>
      <c r="L11" s="67">
        <v>246.246666666667</v>
      </c>
      <c r="M11" s="67">
        <v>246.246666666667</v>
      </c>
      <c r="N11" s="67">
        <f t="shared" si="0"/>
        <v>3000</v>
      </c>
      <c r="O11" s="67">
        <v>3000</v>
      </c>
    </row>
    <row r="12" ht="20" customHeight="1" spans="1:15">
      <c r="A12" s="72" t="s">
        <v>26</v>
      </c>
      <c r="B12" s="66"/>
      <c r="C12" s="66">
        <v>9829.97</v>
      </c>
      <c r="D12" s="66">
        <v>9755.72</v>
      </c>
      <c r="E12" s="66">
        <v>26712.7011111111</v>
      </c>
      <c r="F12" s="66">
        <v>26712.7011111111</v>
      </c>
      <c r="G12" s="66">
        <v>26712.7011111111</v>
      </c>
      <c r="H12" s="66">
        <v>26712.7011111111</v>
      </c>
      <c r="I12" s="66">
        <v>26712.7011111111</v>
      </c>
      <c r="J12" s="66">
        <v>26712.7011111111</v>
      </c>
      <c r="K12" s="66">
        <v>26712.7011111111</v>
      </c>
      <c r="L12" s="67">
        <v>26712.7011111111</v>
      </c>
      <c r="M12" s="67">
        <v>26712.7011111111</v>
      </c>
      <c r="N12" s="67">
        <f t="shared" si="0"/>
        <v>260000</v>
      </c>
      <c r="O12" s="67">
        <v>260000</v>
      </c>
    </row>
    <row r="13" ht="20" customHeight="1" spans="1:15">
      <c r="A13" s="72" t="s">
        <v>27</v>
      </c>
      <c r="B13" s="66">
        <f>15131.05-133550.87+540.2</f>
        <v>-117879.62</v>
      </c>
      <c r="C13" s="66">
        <f>516747.12+49728.45-482136</f>
        <v>84339.5699999999</v>
      </c>
      <c r="D13" s="66">
        <f>-352492.44+482136+20739.13</f>
        <v>150382.69</v>
      </c>
      <c r="E13" s="66">
        <v>42573.04</v>
      </c>
      <c r="F13" s="66">
        <v>42573.04</v>
      </c>
      <c r="G13" s="66">
        <v>42573.04</v>
      </c>
      <c r="H13" s="66">
        <v>42573.04</v>
      </c>
      <c r="I13" s="66">
        <v>42573.04</v>
      </c>
      <c r="J13" s="66">
        <v>42573.04</v>
      </c>
      <c r="K13" s="66">
        <v>42573.04</v>
      </c>
      <c r="L13" s="67">
        <v>42573.04</v>
      </c>
      <c r="M13" s="67">
        <v>42573.04</v>
      </c>
      <c r="N13" s="67">
        <f t="shared" si="0"/>
        <v>500000</v>
      </c>
      <c r="O13" s="67">
        <v>500000</v>
      </c>
    </row>
    <row r="14" ht="20" customHeight="1" spans="1:15">
      <c r="A14" s="65" t="s">
        <v>28</v>
      </c>
      <c r="B14" s="66">
        <v>34668.59</v>
      </c>
      <c r="C14" s="66">
        <v>6391.78</v>
      </c>
      <c r="D14" s="66">
        <v>49950.5</v>
      </c>
      <c r="E14" s="66">
        <v>23221.0144444444</v>
      </c>
      <c r="F14" s="66">
        <v>23221.0144444444</v>
      </c>
      <c r="G14" s="66">
        <v>23221.0144444444</v>
      </c>
      <c r="H14" s="66">
        <v>23221.0144444444</v>
      </c>
      <c r="I14" s="66">
        <v>23221.0144444444</v>
      </c>
      <c r="J14" s="66">
        <v>23221.0144444444</v>
      </c>
      <c r="K14" s="66">
        <v>23221.0144444444</v>
      </c>
      <c r="L14" s="67">
        <v>23221.0144444444</v>
      </c>
      <c r="M14" s="67">
        <v>23221.0144444444</v>
      </c>
      <c r="N14" s="67">
        <f t="shared" si="0"/>
        <v>300000</v>
      </c>
      <c r="O14" s="67">
        <v>300000</v>
      </c>
    </row>
    <row r="15" ht="20" customHeight="1" spans="1:15">
      <c r="A15" s="72" t="s">
        <v>29</v>
      </c>
      <c r="B15" s="66">
        <f>130+2761.9</f>
        <v>2891.9</v>
      </c>
      <c r="C15" s="66">
        <f>6779.4-309.4</f>
        <v>6470</v>
      </c>
      <c r="D15" s="66">
        <f>1865.24-79.9</f>
        <v>1785.34</v>
      </c>
      <c r="E15" s="66">
        <v>2650.30666666667</v>
      </c>
      <c r="F15" s="66">
        <v>2650.30666666667</v>
      </c>
      <c r="G15" s="66">
        <v>2650.30666666667</v>
      </c>
      <c r="H15" s="66">
        <v>2650.30666666667</v>
      </c>
      <c r="I15" s="66">
        <v>2650.30666666667</v>
      </c>
      <c r="J15" s="66">
        <v>2650.30666666667</v>
      </c>
      <c r="K15" s="66">
        <v>2650.30666666667</v>
      </c>
      <c r="L15" s="67">
        <v>2650.30666666667</v>
      </c>
      <c r="M15" s="67">
        <v>2650.30666666667</v>
      </c>
      <c r="N15" s="67">
        <f t="shared" si="0"/>
        <v>35000</v>
      </c>
      <c r="O15" s="67">
        <v>35000</v>
      </c>
    </row>
    <row r="16" ht="20" customHeight="1" spans="1:15">
      <c r="A16" s="72" t="s">
        <v>30</v>
      </c>
      <c r="B16" s="66">
        <v>1751.81</v>
      </c>
      <c r="C16" s="66"/>
      <c r="D16" s="66">
        <v>165.5</v>
      </c>
      <c r="E16" s="66">
        <v>898.076666666667</v>
      </c>
      <c r="F16" s="66">
        <v>898.076666666667</v>
      </c>
      <c r="G16" s="66">
        <v>898.076666666667</v>
      </c>
      <c r="H16" s="66">
        <v>898.076666666667</v>
      </c>
      <c r="I16" s="66">
        <v>898.076666666667</v>
      </c>
      <c r="J16" s="66">
        <v>898.076666666667</v>
      </c>
      <c r="K16" s="66">
        <v>898.076666666667</v>
      </c>
      <c r="L16" s="67">
        <v>898.076666666667</v>
      </c>
      <c r="M16" s="67">
        <v>898.076666666667</v>
      </c>
      <c r="N16" s="67">
        <f t="shared" si="0"/>
        <v>10000</v>
      </c>
      <c r="O16" s="67">
        <v>10000</v>
      </c>
    </row>
    <row r="17" ht="20" customHeight="1" spans="1:15">
      <c r="A17" s="72" t="s">
        <v>31</v>
      </c>
      <c r="B17" s="66">
        <v>50372.1</v>
      </c>
      <c r="C17" s="66">
        <v>30830.73</v>
      </c>
      <c r="D17" s="66">
        <v>17345.64</v>
      </c>
      <c r="E17" s="66">
        <v>9050.17</v>
      </c>
      <c r="F17" s="66">
        <v>9050.17</v>
      </c>
      <c r="G17" s="66">
        <v>9050.17</v>
      </c>
      <c r="H17" s="66">
        <v>9050.17</v>
      </c>
      <c r="I17" s="66">
        <v>9050.17</v>
      </c>
      <c r="J17" s="66">
        <v>9050.17</v>
      </c>
      <c r="K17" s="66">
        <v>9050.17</v>
      </c>
      <c r="L17" s="67">
        <v>9050.17</v>
      </c>
      <c r="M17" s="67">
        <v>9050.17</v>
      </c>
      <c r="N17" s="67">
        <f t="shared" si="0"/>
        <v>180000</v>
      </c>
      <c r="O17" s="67">
        <v>180000</v>
      </c>
    </row>
    <row r="18" ht="20" customHeight="1" spans="1:15">
      <c r="A18" s="72" t="s">
        <v>32</v>
      </c>
      <c r="B18" s="66"/>
      <c r="C18" s="66">
        <v>452.84</v>
      </c>
      <c r="D18" s="66">
        <v>5094.34</v>
      </c>
      <c r="E18" s="66">
        <v>1605.86888888889</v>
      </c>
      <c r="F18" s="66">
        <v>1605.86888888889</v>
      </c>
      <c r="G18" s="66">
        <v>1605.86888888889</v>
      </c>
      <c r="H18" s="66">
        <v>1605.86888888889</v>
      </c>
      <c r="I18" s="66">
        <v>1605.86888888889</v>
      </c>
      <c r="J18" s="66">
        <v>1605.86888888889</v>
      </c>
      <c r="K18" s="66">
        <v>1605.86888888889</v>
      </c>
      <c r="L18" s="67">
        <v>1605.86888888889</v>
      </c>
      <c r="M18" s="67">
        <v>1605.86888888889</v>
      </c>
      <c r="N18" s="67">
        <f t="shared" si="0"/>
        <v>20000</v>
      </c>
      <c r="O18" s="67">
        <v>20000</v>
      </c>
    </row>
    <row r="19" ht="20" customHeight="1" spans="1:15">
      <c r="A19" s="65" t="s">
        <v>33</v>
      </c>
      <c r="B19" s="66">
        <v>28190</v>
      </c>
      <c r="C19" s="66"/>
      <c r="D19" s="66">
        <v>5660.38</v>
      </c>
      <c r="E19" s="66">
        <v>107349.957777778</v>
      </c>
      <c r="F19" s="66">
        <v>107349.957777778</v>
      </c>
      <c r="G19" s="66">
        <v>107349.957777778</v>
      </c>
      <c r="H19" s="66">
        <v>107349.957777778</v>
      </c>
      <c r="I19" s="66">
        <v>107349.957777778</v>
      </c>
      <c r="J19" s="66">
        <v>107349.957777778</v>
      </c>
      <c r="K19" s="66">
        <v>107349.957777778</v>
      </c>
      <c r="L19" s="67">
        <v>107349.957777778</v>
      </c>
      <c r="M19" s="67">
        <v>107349.957777778</v>
      </c>
      <c r="N19" s="67">
        <f t="shared" si="0"/>
        <v>1000000</v>
      </c>
      <c r="O19" s="67">
        <v>1000000</v>
      </c>
    </row>
    <row r="20" ht="20" customHeight="1" spans="1:15">
      <c r="A20" s="65" t="s">
        <v>34</v>
      </c>
      <c r="B20" s="66">
        <v>26601.88</v>
      </c>
      <c r="C20" s="66">
        <v>35838.36</v>
      </c>
      <c r="D20" s="66">
        <v>8598.08</v>
      </c>
      <c r="E20" s="66">
        <v>25440.1866666667</v>
      </c>
      <c r="F20" s="66">
        <v>25440.1866666667</v>
      </c>
      <c r="G20" s="66">
        <v>25440.1866666667</v>
      </c>
      <c r="H20" s="66">
        <v>25440.1866666667</v>
      </c>
      <c r="I20" s="66">
        <v>25440.1866666667</v>
      </c>
      <c r="J20" s="66">
        <v>25440.1866666667</v>
      </c>
      <c r="K20" s="66">
        <v>25440.1866666667</v>
      </c>
      <c r="L20" s="67">
        <v>25440.1866666667</v>
      </c>
      <c r="M20" s="67">
        <v>25440.1866666667</v>
      </c>
      <c r="N20" s="67">
        <f t="shared" si="0"/>
        <v>300000</v>
      </c>
      <c r="O20" s="67">
        <v>300000</v>
      </c>
    </row>
    <row r="21" ht="20" customHeight="1" spans="1:15">
      <c r="A21" s="65" t="s">
        <v>35</v>
      </c>
      <c r="B21" s="66">
        <v>9186.09</v>
      </c>
      <c r="C21" s="66">
        <v>9202.62</v>
      </c>
      <c r="D21" s="66">
        <v>17289.65</v>
      </c>
      <c r="E21" s="66">
        <v>11591.2933333333</v>
      </c>
      <c r="F21" s="66">
        <v>11591.2933333333</v>
      </c>
      <c r="G21" s="66">
        <v>11591.2933333333</v>
      </c>
      <c r="H21" s="66">
        <v>11591.2933333333</v>
      </c>
      <c r="I21" s="66">
        <v>11591.2933333333</v>
      </c>
      <c r="J21" s="66">
        <v>11591.2933333333</v>
      </c>
      <c r="K21" s="66">
        <v>11591.2933333333</v>
      </c>
      <c r="L21" s="67">
        <v>11591.2933333333</v>
      </c>
      <c r="M21" s="67">
        <v>11591.2933333333</v>
      </c>
      <c r="N21" s="67">
        <f t="shared" si="0"/>
        <v>140000</v>
      </c>
      <c r="O21" s="67">
        <v>140000</v>
      </c>
    </row>
    <row r="22" ht="20" customHeight="1" spans="1:15">
      <c r="A22" s="72" t="s">
        <v>36</v>
      </c>
      <c r="B22" s="66">
        <f>739685.95+99950.7</f>
        <v>839636.65</v>
      </c>
      <c r="C22" s="66">
        <f>759161.31+111939.08</f>
        <v>871100.39</v>
      </c>
      <c r="D22" s="66">
        <f>749776.42+113568.44</f>
        <v>863344.86</v>
      </c>
      <c r="E22" s="66">
        <v>942161.213333333</v>
      </c>
      <c r="F22" s="66">
        <v>942161.213333333</v>
      </c>
      <c r="G22" s="66">
        <v>942161.213333333</v>
      </c>
      <c r="H22" s="66">
        <v>942161.213333333</v>
      </c>
      <c r="I22" s="66">
        <v>942161.213333333</v>
      </c>
      <c r="J22" s="66">
        <v>942161.213333333</v>
      </c>
      <c r="K22" s="66">
        <v>942161.213333333</v>
      </c>
      <c r="L22" s="67">
        <v>942161.213333333</v>
      </c>
      <c r="M22" s="67">
        <v>942161.213333333</v>
      </c>
      <c r="N22" s="67">
        <f t="shared" si="0"/>
        <v>11053532.82</v>
      </c>
      <c r="O22" s="67">
        <v>11053532.82</v>
      </c>
    </row>
    <row r="23" ht="20" customHeight="1" spans="1:15">
      <c r="A23" s="72" t="s">
        <v>37</v>
      </c>
      <c r="B23" s="66">
        <f>58788.12+23424.96+3080.44</f>
        <v>85293.52</v>
      </c>
      <c r="C23" s="66">
        <f>58785.73+31119.34</f>
        <v>89905.07</v>
      </c>
      <c r="D23" s="66">
        <f>57903.16+31119.34</f>
        <v>89022.5</v>
      </c>
      <c r="E23" s="66">
        <v>91971.4177777778</v>
      </c>
      <c r="F23" s="66">
        <v>91971.4177777778</v>
      </c>
      <c r="G23" s="66">
        <v>91971.4177777778</v>
      </c>
      <c r="H23" s="66">
        <v>91971.4177777778</v>
      </c>
      <c r="I23" s="66">
        <v>91971.4177777778</v>
      </c>
      <c r="J23" s="66">
        <v>91971.4177777778</v>
      </c>
      <c r="K23" s="66">
        <v>91971.4177777778</v>
      </c>
      <c r="L23" s="67">
        <v>91971.4177777778</v>
      </c>
      <c r="M23" s="67">
        <v>91971.4177777778</v>
      </c>
      <c r="N23" s="67">
        <f t="shared" si="0"/>
        <v>1091963.85</v>
      </c>
      <c r="O23" s="67">
        <v>1091963.85</v>
      </c>
    </row>
    <row r="24" ht="20" customHeight="1" spans="1:15">
      <c r="A24" s="72" t="s">
        <v>38</v>
      </c>
      <c r="B24" s="66">
        <f>56720.96-107614.4</f>
        <v>-50893.44</v>
      </c>
      <c r="C24" s="66">
        <f>1281.88+36533.56</f>
        <v>37815.44</v>
      </c>
      <c r="D24" s="66">
        <f>34605.78+47097.46</f>
        <v>81703.24</v>
      </c>
      <c r="E24" s="66">
        <v>81263.8622222222</v>
      </c>
      <c r="F24" s="66">
        <v>81263.8622222222</v>
      </c>
      <c r="G24" s="66">
        <v>81263.8622222222</v>
      </c>
      <c r="H24" s="66">
        <v>81263.8622222222</v>
      </c>
      <c r="I24" s="66">
        <v>81263.8622222222</v>
      </c>
      <c r="J24" s="66">
        <v>81263.8622222222</v>
      </c>
      <c r="K24" s="66">
        <v>81263.8622222222</v>
      </c>
      <c r="L24" s="67">
        <v>81263.8622222222</v>
      </c>
      <c r="M24" s="67">
        <v>81263.8622222222</v>
      </c>
      <c r="N24" s="67">
        <f t="shared" si="0"/>
        <v>800000</v>
      </c>
      <c r="O24" s="67">
        <v>800000</v>
      </c>
    </row>
    <row r="25" ht="20" customHeight="1" spans="1:15">
      <c r="A25" s="72" t="s">
        <v>13</v>
      </c>
      <c r="B25" s="66">
        <f t="shared" ref="B25:O25" si="1">SUM(B3:B24)</f>
        <v>1584542.21</v>
      </c>
      <c r="C25" s="66">
        <f t="shared" si="1"/>
        <v>1816145.79</v>
      </c>
      <c r="D25" s="66">
        <f t="shared" si="1"/>
        <v>2000871.23</v>
      </c>
      <c r="E25" s="66">
        <f t="shared" si="1"/>
        <v>1776526.81555556</v>
      </c>
      <c r="F25" s="66">
        <f t="shared" si="1"/>
        <v>1776526.81555556</v>
      </c>
      <c r="G25" s="66">
        <f t="shared" si="1"/>
        <v>1776526.81555556</v>
      </c>
      <c r="H25" s="66">
        <f t="shared" si="1"/>
        <v>1776526.81555556</v>
      </c>
      <c r="I25" s="66">
        <f t="shared" si="1"/>
        <v>1776526.81555556</v>
      </c>
      <c r="J25" s="66">
        <f t="shared" si="1"/>
        <v>1776526.81555556</v>
      </c>
      <c r="K25" s="66">
        <f t="shared" si="1"/>
        <v>1776526.81555556</v>
      </c>
      <c r="L25" s="66">
        <f t="shared" si="1"/>
        <v>1776526.81555556</v>
      </c>
      <c r="M25" s="66">
        <f t="shared" si="1"/>
        <v>1776526.81555556</v>
      </c>
      <c r="N25" s="66">
        <f t="shared" si="1"/>
        <v>21390300.57</v>
      </c>
      <c r="O25" s="66">
        <f t="shared" si="1"/>
        <v>21390300.57</v>
      </c>
    </row>
    <row r="26" ht="20" customHeight="1"/>
    <row r="29" spans="1:15">
      <c r="O29" s="68"/>
    </row>
  </sheetData>
  <mergeCells count="2">
    <mergeCell ref="N1:N2"/>
    <mergeCell ref="O1:O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tabSelected="1" zoomScale="120" zoomScaleNormal="120" workbookViewId="0">
      <selection activeCell="B12" sqref="B12:D12"/>
    </sheetView>
  </sheetViews>
  <sheetFormatPr defaultColWidth="18.8888888888889" defaultRowHeight="14.4" outlineLevelCol="6"/>
  <cols>
    <col min="1" max="1" width="5.33333333333333" customWidth="1"/>
    <col min="2" max="2" width="35.0925925925926" customWidth="1"/>
    <col min="3" max="3" width="23.7037037037037" customWidth="1"/>
    <col min="4" max="4" width="17.8703703703704" customWidth="1"/>
    <col min="5" max="5" width="26" customWidth="1"/>
    <col min="6" max="6" width="16.2037037037037" customWidth="1"/>
    <col min="7" max="7" width="37.5555555555556" customWidth="1"/>
    <col min="8" max="8" width="29.6666666666667" customWidth="1"/>
    <col min="9" max="16383" width="18.8888888888889" customWidth="1"/>
  </cols>
  <sheetData>
    <row r="1" ht="41" customHeight="1" spans="1:7">
      <c r="A1" s="28" t="s">
        <v>39</v>
      </c>
      <c r="B1" s="28"/>
      <c r="C1" s="28"/>
      <c r="D1" s="28"/>
      <c r="E1" s="28"/>
      <c r="F1" s="28"/>
      <c r="G1" s="28"/>
    </row>
    <row r="2" ht="32" customHeight="1" spans="1:7">
      <c r="A2" s="29" t="s">
        <v>40</v>
      </c>
      <c r="B2" s="29"/>
      <c r="C2" s="29"/>
      <c r="D2" s="29"/>
    </row>
    <row r="3" ht="17" customHeight="1" spans="1:7">
      <c r="A3" s="30" t="s">
        <v>41</v>
      </c>
      <c r="B3" s="31"/>
      <c r="C3" s="31" t="s">
        <v>42</v>
      </c>
      <c r="D3" s="32" t="s">
        <v>43</v>
      </c>
    </row>
    <row r="4" spans="1:7">
      <c r="A4" s="33" t="s">
        <v>44</v>
      </c>
      <c r="B4" s="34"/>
      <c r="C4" s="34">
        <v>2139.03</v>
      </c>
      <c r="D4" s="35" t="s">
        <v>45</v>
      </c>
    </row>
    <row r="5" spans="1:7">
      <c r="A5" s="33" t="s">
        <v>46</v>
      </c>
      <c r="B5" s="34"/>
      <c r="C5" s="34">
        <v>540.16</v>
      </c>
      <c r="D5" s="35" t="s">
        <v>45</v>
      </c>
    </row>
    <row r="6" spans="1:7">
      <c r="A6" s="33" t="s">
        <v>47</v>
      </c>
      <c r="B6" s="34"/>
      <c r="C6" s="34">
        <v>1598.87</v>
      </c>
      <c r="D6" s="35" t="s">
        <v>45</v>
      </c>
    </row>
    <row r="7" spans="1:7">
      <c r="A7" s="33" t="s">
        <v>48</v>
      </c>
      <c r="B7" s="34"/>
      <c r="C7" s="36">
        <v>178.25</v>
      </c>
      <c r="D7" s="35" t="s">
        <v>45</v>
      </c>
    </row>
    <row r="8" spans="1:7">
      <c r="A8" s="33" t="s">
        <v>49</v>
      </c>
      <c r="B8" s="34"/>
      <c r="C8" s="36">
        <v>180.05</v>
      </c>
      <c r="D8" s="35" t="s">
        <v>45</v>
      </c>
    </row>
    <row r="9" spans="1:7">
      <c r="A9" s="33" t="s">
        <v>50</v>
      </c>
      <c r="B9" s="34"/>
      <c r="C9" s="37">
        <v>0.2525</v>
      </c>
      <c r="D9" s="35" t="s">
        <v>51</v>
      </c>
    </row>
    <row r="10" spans="1:7">
      <c r="A10" s="33" t="s">
        <v>52</v>
      </c>
      <c r="B10" s="34"/>
      <c r="C10" s="37">
        <v>-0.892</v>
      </c>
      <c r="D10" s="35" t="s">
        <v>51</v>
      </c>
    </row>
    <row r="11" spans="1:7">
      <c r="A11" s="33" t="s">
        <v>53</v>
      </c>
      <c r="B11" s="34"/>
      <c r="C11" s="37">
        <v>8.78</v>
      </c>
      <c r="D11" s="35" t="s">
        <v>51</v>
      </c>
    </row>
    <row r="12" ht="56" customHeight="1" spans="1:7">
      <c r="A12" s="38" t="s">
        <v>54</v>
      </c>
      <c r="B12" s="39" t="s">
        <v>55</v>
      </c>
      <c r="C12" s="40"/>
      <c r="D12" s="41"/>
      <c r="E12" s="42"/>
    </row>
    <row r="14" ht="23" customHeight="1" spans="1:7">
      <c r="A14" s="29" t="s">
        <v>56</v>
      </c>
      <c r="B14" s="29"/>
      <c r="C14" s="29"/>
      <c r="D14" s="29"/>
      <c r="E14" s="29"/>
      <c r="F14" s="29"/>
      <c r="G14" s="29"/>
    </row>
    <row r="15" ht="23" customHeight="1" spans="1:7">
      <c r="A15" s="30" t="s">
        <v>57</v>
      </c>
      <c r="B15" s="31" t="s">
        <v>58</v>
      </c>
      <c r="C15" s="31" t="s">
        <v>59</v>
      </c>
      <c r="D15" s="31"/>
      <c r="E15" s="31"/>
      <c r="F15" s="31"/>
      <c r="G15" s="32"/>
    </row>
    <row r="16" ht="67" customHeight="1" spans="1:7">
      <c r="A16" s="33">
        <v>1</v>
      </c>
      <c r="B16" s="34" t="s">
        <v>60</v>
      </c>
      <c r="C16" s="43" t="s">
        <v>61</v>
      </c>
      <c r="D16" s="43"/>
      <c r="E16" s="43"/>
      <c r="F16" s="43"/>
      <c r="G16" s="44"/>
    </row>
    <row r="17" ht="50" customHeight="1" spans="1:7">
      <c r="A17" s="33">
        <v>2</v>
      </c>
      <c r="B17" s="45" t="s">
        <v>62</v>
      </c>
      <c r="C17" s="46" t="s">
        <v>63</v>
      </c>
      <c r="D17" s="46"/>
      <c r="E17" s="46"/>
      <c r="F17" s="46"/>
      <c r="G17" s="47"/>
    </row>
    <row r="18" ht="58" customHeight="1" spans="1:7">
      <c r="A18" s="33">
        <v>3</v>
      </c>
      <c r="B18" s="48" t="s">
        <v>64</v>
      </c>
      <c r="C18" s="43" t="s">
        <v>65</v>
      </c>
      <c r="D18" s="43"/>
      <c r="E18" s="43"/>
      <c r="F18" s="43"/>
      <c r="G18" s="44"/>
    </row>
    <row r="19" ht="52" customHeight="1" spans="1:7">
      <c r="A19" s="33">
        <v>4</v>
      </c>
      <c r="B19" s="48" t="s">
        <v>66</v>
      </c>
      <c r="C19" s="43" t="s">
        <v>67</v>
      </c>
      <c r="D19" s="43"/>
      <c r="E19" s="43" t="s">
        <v>68</v>
      </c>
      <c r="F19" s="43"/>
      <c r="G19" s="44"/>
    </row>
    <row r="20" ht="48" customHeight="1" spans="1:7">
      <c r="A20" s="33">
        <v>5</v>
      </c>
      <c r="B20" s="45" t="s">
        <v>69</v>
      </c>
      <c r="C20" s="43" t="s">
        <v>70</v>
      </c>
      <c r="D20" s="43"/>
      <c r="E20" s="43" t="s">
        <v>71</v>
      </c>
      <c r="F20" s="43"/>
      <c r="G20" s="44"/>
    </row>
    <row r="21" ht="49" customHeight="1" spans="1:7">
      <c r="A21" s="38">
        <v>6</v>
      </c>
      <c r="B21" s="49" t="s">
        <v>72</v>
      </c>
      <c r="C21" s="39" t="s">
        <v>73</v>
      </c>
      <c r="D21" s="39"/>
      <c r="E21" s="39" t="s">
        <v>74</v>
      </c>
      <c r="F21" s="39"/>
      <c r="G21" s="50"/>
    </row>
    <row r="23" ht="32" customHeight="1" spans="1:7">
      <c r="A23" s="29" t="s">
        <v>75</v>
      </c>
      <c r="B23" s="29"/>
      <c r="C23" s="29"/>
      <c r="D23" s="29"/>
      <c r="E23" s="29"/>
      <c r="F23" s="29"/>
      <c r="G23" s="29"/>
    </row>
    <row r="24" ht="26" customHeight="1" spans="1:7">
      <c r="A24" s="30" t="s">
        <v>76</v>
      </c>
      <c r="B24" s="31"/>
      <c r="C24" s="31" t="s">
        <v>77</v>
      </c>
      <c r="D24" s="31" t="s">
        <v>78</v>
      </c>
      <c r="E24" s="31" t="s">
        <v>79</v>
      </c>
      <c r="F24" s="31" t="s">
        <v>80</v>
      </c>
      <c r="G24" s="32" t="s">
        <v>81</v>
      </c>
    </row>
    <row r="25" ht="31" customHeight="1" spans="1:7">
      <c r="A25" s="33" t="s">
        <v>82</v>
      </c>
      <c r="B25" s="34"/>
      <c r="C25" s="34" t="s">
        <v>36</v>
      </c>
      <c r="D25" s="34">
        <v>1095.35</v>
      </c>
      <c r="E25" s="37">
        <v>0.5174</v>
      </c>
      <c r="F25" s="37">
        <v>8.78</v>
      </c>
      <c r="G25" s="35" t="s">
        <v>83</v>
      </c>
    </row>
    <row r="26" ht="31" customHeight="1" spans="1:7">
      <c r="A26" s="33" t="s">
        <v>82</v>
      </c>
      <c r="B26" s="34"/>
      <c r="C26" s="34" t="s">
        <v>37</v>
      </c>
      <c r="D26" s="34">
        <v>109.2</v>
      </c>
      <c r="E26" s="37">
        <v>0.051</v>
      </c>
      <c r="F26" s="37">
        <v>7.485</v>
      </c>
      <c r="G26" s="35" t="s">
        <v>84</v>
      </c>
    </row>
    <row r="27" ht="29" customHeight="1" spans="1:7">
      <c r="A27" s="33" t="s">
        <v>82</v>
      </c>
      <c r="B27" s="34"/>
      <c r="C27" s="34" t="s">
        <v>33</v>
      </c>
      <c r="D27" s="34">
        <v>100</v>
      </c>
      <c r="E27" s="37">
        <v>0.0467</v>
      </c>
      <c r="F27" s="37">
        <v>0.286</v>
      </c>
      <c r="G27" s="35" t="s">
        <v>85</v>
      </c>
    </row>
    <row r="28" ht="43.2" spans="1:7">
      <c r="A28" s="33" t="s">
        <v>82</v>
      </c>
      <c r="B28" s="34"/>
      <c r="C28" s="34" t="s">
        <v>86</v>
      </c>
      <c r="D28" s="34">
        <v>119.98</v>
      </c>
      <c r="E28" s="37">
        <v>0.0561</v>
      </c>
      <c r="F28" s="37">
        <v>-0.096</v>
      </c>
      <c r="G28" s="35" t="s">
        <v>87</v>
      </c>
    </row>
    <row r="29" ht="24" customHeight="1" spans="1:7">
      <c r="A29" s="51" t="s">
        <v>88</v>
      </c>
      <c r="B29" s="52"/>
      <c r="C29" s="52" t="s">
        <v>89</v>
      </c>
      <c r="D29" s="52">
        <v>492.18</v>
      </c>
      <c r="E29" s="53">
        <v>0.2301</v>
      </c>
      <c r="F29" s="53">
        <v>-0.315</v>
      </c>
      <c r="G29" s="54" t="s">
        <v>90</v>
      </c>
    </row>
    <row r="30" ht="24" customHeight="1" spans="1:7">
      <c r="A30" s="51" t="s">
        <v>88</v>
      </c>
      <c r="B30" s="52"/>
      <c r="C30" s="52" t="s">
        <v>38</v>
      </c>
      <c r="D30" s="52">
        <v>80</v>
      </c>
      <c r="E30" s="53">
        <v>0.0374</v>
      </c>
      <c r="F30" s="53">
        <v>0.382</v>
      </c>
      <c r="G30" s="54" t="s">
        <v>91</v>
      </c>
    </row>
    <row r="31" ht="58.35" spans="1:7">
      <c r="A31" s="55" t="s">
        <v>88</v>
      </c>
      <c r="B31" s="56"/>
      <c r="C31" s="56" t="s">
        <v>92</v>
      </c>
      <c r="D31" s="56">
        <v>32.32</v>
      </c>
      <c r="E31" s="57">
        <v>0.0151</v>
      </c>
      <c r="F31" s="57">
        <v>-0.321</v>
      </c>
      <c r="G31" s="58" t="s">
        <v>93</v>
      </c>
    </row>
  </sheetData>
  <mergeCells count="29">
    <mergeCell ref="A1:G1"/>
    <mergeCell ref="A2:D2"/>
    <mergeCell ref="A3:B3"/>
    <mergeCell ref="A4:B4"/>
    <mergeCell ref="A5:B5"/>
    <mergeCell ref="A6:B6"/>
    <mergeCell ref="A7:B7"/>
    <mergeCell ref="A8:B8"/>
    <mergeCell ref="A9:B9"/>
    <mergeCell ref="A10:B10"/>
    <mergeCell ref="A11:B11"/>
    <mergeCell ref="B12:D12"/>
    <mergeCell ref="A14:G14"/>
    <mergeCell ref="C15:G15"/>
    <mergeCell ref="C16:G16"/>
    <mergeCell ref="C17:G17"/>
    <mergeCell ref="C18:G18"/>
    <mergeCell ref="C19:G19"/>
    <mergeCell ref="C20:G20"/>
    <mergeCell ref="C21:G21"/>
    <mergeCell ref="A23:G23"/>
    <mergeCell ref="A24:B24"/>
    <mergeCell ref="A25:B25"/>
    <mergeCell ref="A26:B26"/>
    <mergeCell ref="A27:B27"/>
    <mergeCell ref="A28:B28"/>
    <mergeCell ref="A29:B29"/>
    <mergeCell ref="A30:B30"/>
    <mergeCell ref="A31:B3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
  <sheetViews>
    <sheetView topLeftCell="A44" workbookViewId="0">
      <selection activeCell="I7" sqref="I7"/>
    </sheetView>
  </sheetViews>
  <sheetFormatPr defaultColWidth="9" defaultRowHeight="14.4" outlineLevelCol="6"/>
  <cols>
    <col min="1" max="1" width="6" style="1" customWidth="1"/>
    <col min="2" max="2" width="20" style="1" customWidth="1"/>
    <col min="3" max="3" width="16" style="1" customWidth="1"/>
    <col min="4" max="4" width="14" style="1" customWidth="1"/>
    <col min="5" max="5" width="45" style="1" customWidth="1"/>
    <col min="6" max="6" width="25" style="1" customWidth="1"/>
    <col min="7" max="7" width="30" style="1" customWidth="1"/>
    <col min="8" max="16384" width="9" style="1"/>
  </cols>
  <sheetData>
    <row r="1" s="1" customFormat="1" ht="36" customHeight="1" spans="1:7">
      <c r="A1" s="24" t="s">
        <v>94</v>
      </c>
      <c r="B1" s="25"/>
      <c r="C1" s="25"/>
      <c r="D1" s="25"/>
      <c r="E1" s="25"/>
      <c r="F1" s="25"/>
      <c r="G1" s="25"/>
    </row>
    <row r="3" s="1" customFormat="1" ht="32" customHeight="1" spans="1:7">
      <c r="A3" s="26" t="s">
        <v>95</v>
      </c>
      <c r="B3" s="27"/>
      <c r="C3" s="27"/>
      <c r="D3" s="27"/>
      <c r="E3" s="27"/>
      <c r="F3" s="27"/>
      <c r="G3" s="27"/>
    </row>
    <row r="4" s="1" customFormat="1" ht="30" customHeight="1" spans="1:7">
      <c r="A4" s="6" t="s">
        <v>57</v>
      </c>
      <c r="B4" s="6" t="s">
        <v>96</v>
      </c>
      <c r="C4" s="6" t="s">
        <v>97</v>
      </c>
      <c r="D4" s="6" t="s">
        <v>98</v>
      </c>
      <c r="E4" s="6" t="s">
        <v>99</v>
      </c>
      <c r="F4" s="6" t="s">
        <v>100</v>
      </c>
      <c r="G4" s="6" t="s">
        <v>101</v>
      </c>
    </row>
    <row r="5" s="1" customFormat="1" ht="42" customHeight="1" spans="1:7">
      <c r="A5" s="10" t="s">
        <v>102</v>
      </c>
      <c r="B5" s="10" t="s">
        <v>103</v>
      </c>
      <c r="C5" s="10" t="s">
        <v>104</v>
      </c>
      <c r="D5" s="10" t="s">
        <v>105</v>
      </c>
      <c r="E5" s="10" t="s">
        <v>106</v>
      </c>
      <c r="F5" s="10" t="s">
        <v>107</v>
      </c>
      <c r="G5" s="10" t="s">
        <v>108</v>
      </c>
    </row>
    <row r="6" s="1" customFormat="1" ht="42" customHeight="1" spans="1:7">
      <c r="A6" s="15" t="s">
        <v>109</v>
      </c>
      <c r="B6" s="15" t="s">
        <v>110</v>
      </c>
      <c r="C6" s="15" t="s">
        <v>104</v>
      </c>
      <c r="D6" s="15" t="s">
        <v>111</v>
      </c>
      <c r="E6" s="15" t="s">
        <v>112</v>
      </c>
      <c r="F6" s="15" t="s">
        <v>113</v>
      </c>
      <c r="G6" s="15" t="s">
        <v>114</v>
      </c>
    </row>
    <row r="7" s="1" customFormat="1" ht="42" customHeight="1" spans="1:7">
      <c r="A7" s="15" t="s">
        <v>115</v>
      </c>
      <c r="B7" s="15" t="s">
        <v>116</v>
      </c>
      <c r="C7" s="15" t="s">
        <v>117</v>
      </c>
      <c r="D7" s="15" t="s">
        <v>111</v>
      </c>
      <c r="E7" s="15" t="s">
        <v>118</v>
      </c>
      <c r="F7" s="15" t="s">
        <v>119</v>
      </c>
      <c r="G7" s="15" t="s">
        <v>120</v>
      </c>
    </row>
    <row r="8" s="1" customFormat="1" ht="42" customHeight="1" spans="1:7">
      <c r="A8" s="15" t="s">
        <v>121</v>
      </c>
      <c r="B8" s="15" t="s">
        <v>122</v>
      </c>
      <c r="C8" s="15" t="s">
        <v>117</v>
      </c>
      <c r="D8" s="15" t="s">
        <v>123</v>
      </c>
      <c r="E8" s="15" t="s">
        <v>124</v>
      </c>
      <c r="F8" s="15" t="s">
        <v>51</v>
      </c>
      <c r="G8" s="15" t="s">
        <v>125</v>
      </c>
    </row>
    <row r="9" s="1" customFormat="1" ht="42" customHeight="1" spans="1:7">
      <c r="A9" s="15" t="s">
        <v>126</v>
      </c>
      <c r="B9" s="15" t="s">
        <v>127</v>
      </c>
      <c r="C9" s="15" t="s">
        <v>128</v>
      </c>
      <c r="D9" s="15" t="s">
        <v>123</v>
      </c>
      <c r="E9" s="15" t="s">
        <v>129</v>
      </c>
      <c r="F9" s="15" t="s">
        <v>130</v>
      </c>
      <c r="G9" s="15" t="s">
        <v>131</v>
      </c>
    </row>
    <row r="10" s="1" customFormat="1" ht="42" customHeight="1" spans="1:7">
      <c r="A10" s="15" t="s">
        <v>132</v>
      </c>
      <c r="B10" s="15" t="s">
        <v>133</v>
      </c>
      <c r="C10" s="15" t="s">
        <v>128</v>
      </c>
      <c r="D10" s="15" t="s">
        <v>134</v>
      </c>
      <c r="E10" s="15" t="s">
        <v>135</v>
      </c>
      <c r="F10" s="15" t="s">
        <v>136</v>
      </c>
      <c r="G10" s="15" t="s">
        <v>137</v>
      </c>
    </row>
    <row r="11" s="1" customFormat="1" ht="42" customHeight="1" spans="1:7">
      <c r="A11" s="15" t="s">
        <v>138</v>
      </c>
      <c r="B11" s="15" t="s">
        <v>139</v>
      </c>
      <c r="C11" s="15" t="s">
        <v>117</v>
      </c>
      <c r="D11" s="15" t="s">
        <v>140</v>
      </c>
      <c r="E11" s="15" t="s">
        <v>141</v>
      </c>
      <c r="F11" s="15" t="s">
        <v>142</v>
      </c>
      <c r="G11" s="15" t="s">
        <v>143</v>
      </c>
    </row>
    <row r="12" s="1" customFormat="1" ht="42" customHeight="1" spans="1:7">
      <c r="A12" s="15" t="s">
        <v>144</v>
      </c>
      <c r="B12" s="15" t="s">
        <v>145</v>
      </c>
      <c r="C12" s="15" t="s">
        <v>117</v>
      </c>
      <c r="D12" s="15" t="s">
        <v>146</v>
      </c>
      <c r="E12" s="15" t="s">
        <v>147</v>
      </c>
      <c r="F12" s="15" t="s">
        <v>148</v>
      </c>
      <c r="G12" s="15" t="s">
        <v>51</v>
      </c>
    </row>
    <row r="14" s="1" customFormat="1" ht="32" customHeight="1" spans="1:7">
      <c r="A14" s="26" t="s">
        <v>149</v>
      </c>
      <c r="B14" s="27"/>
      <c r="C14" s="27"/>
      <c r="D14" s="27"/>
      <c r="E14" s="27"/>
      <c r="F14" s="27"/>
      <c r="G14" s="27"/>
    </row>
    <row r="15" s="1" customFormat="1" ht="30" customHeight="1" spans="1:7">
      <c r="A15" s="6" t="s">
        <v>57</v>
      </c>
      <c r="B15" s="6" t="s">
        <v>96</v>
      </c>
      <c r="C15" s="6" t="s">
        <v>150</v>
      </c>
      <c r="D15" s="6" t="s">
        <v>98</v>
      </c>
      <c r="E15" s="6" t="s">
        <v>99</v>
      </c>
      <c r="F15" s="6" t="s">
        <v>100</v>
      </c>
      <c r="G15" s="6" t="s">
        <v>101</v>
      </c>
    </row>
    <row r="16" s="1" customFormat="1" ht="42" customHeight="1" spans="1:7">
      <c r="A16" s="10" t="s">
        <v>151</v>
      </c>
      <c r="B16" s="10" t="s">
        <v>152</v>
      </c>
      <c r="C16" s="10" t="s">
        <v>128</v>
      </c>
      <c r="D16" s="10" t="s">
        <v>153</v>
      </c>
      <c r="E16" s="10" t="s">
        <v>154</v>
      </c>
      <c r="F16" s="10" t="s">
        <v>155</v>
      </c>
      <c r="G16" s="10" t="s">
        <v>156</v>
      </c>
    </row>
    <row r="17" s="1" customFormat="1" ht="42" customHeight="1" spans="1:7">
      <c r="A17" s="15" t="s">
        <v>157</v>
      </c>
      <c r="B17" s="15" t="s">
        <v>158</v>
      </c>
      <c r="C17" s="15" t="s">
        <v>128</v>
      </c>
      <c r="D17" s="15" t="s">
        <v>159</v>
      </c>
      <c r="E17" s="15" t="s">
        <v>160</v>
      </c>
      <c r="F17" s="15" t="s">
        <v>161</v>
      </c>
      <c r="G17" s="15" t="s">
        <v>162</v>
      </c>
    </row>
    <row r="18" s="1" customFormat="1" ht="42" customHeight="1" spans="1:7">
      <c r="A18" s="15" t="s">
        <v>163</v>
      </c>
      <c r="B18" s="15" t="s">
        <v>164</v>
      </c>
      <c r="C18" s="15" t="s">
        <v>128</v>
      </c>
      <c r="D18" s="15" t="s">
        <v>159</v>
      </c>
      <c r="E18" s="15" t="s">
        <v>165</v>
      </c>
      <c r="F18" s="15" t="s">
        <v>166</v>
      </c>
      <c r="G18" s="15" t="s">
        <v>167</v>
      </c>
    </row>
    <row r="19" s="1" customFormat="1" ht="42" customHeight="1" spans="1:7">
      <c r="A19" s="15" t="s">
        <v>168</v>
      </c>
      <c r="B19" s="15" t="s">
        <v>169</v>
      </c>
      <c r="C19" s="15" t="s">
        <v>128</v>
      </c>
      <c r="D19" s="15" t="s">
        <v>170</v>
      </c>
      <c r="E19" s="15" t="s">
        <v>171</v>
      </c>
      <c r="F19" s="15" t="s">
        <v>172</v>
      </c>
      <c r="G19" s="15" t="s">
        <v>173</v>
      </c>
    </row>
    <row r="20" s="1" customFormat="1" ht="42" customHeight="1" spans="1:7">
      <c r="A20" s="15" t="s">
        <v>174</v>
      </c>
      <c r="B20" s="15" t="s">
        <v>175</v>
      </c>
      <c r="C20" s="15" t="s">
        <v>128</v>
      </c>
      <c r="D20" s="15" t="s">
        <v>176</v>
      </c>
      <c r="E20" s="15" t="s">
        <v>177</v>
      </c>
      <c r="F20" s="15" t="s">
        <v>178</v>
      </c>
      <c r="G20" s="15" t="s">
        <v>179</v>
      </c>
    </row>
    <row r="21" s="1" customFormat="1" ht="42" customHeight="1" spans="1:7">
      <c r="A21" s="15" t="s">
        <v>180</v>
      </c>
      <c r="B21" s="15" t="s">
        <v>23</v>
      </c>
      <c r="C21" s="15" t="s">
        <v>181</v>
      </c>
      <c r="D21" s="15" t="s">
        <v>170</v>
      </c>
      <c r="E21" s="15" t="s">
        <v>182</v>
      </c>
      <c r="F21" s="15" t="s">
        <v>183</v>
      </c>
      <c r="G21" s="15" t="s">
        <v>184</v>
      </c>
    </row>
    <row r="22" s="1" customFormat="1" ht="42" customHeight="1" spans="1:7">
      <c r="A22" s="15" t="s">
        <v>185</v>
      </c>
      <c r="B22" s="15" t="s">
        <v>186</v>
      </c>
      <c r="C22" s="15" t="s">
        <v>117</v>
      </c>
      <c r="D22" s="15" t="s">
        <v>159</v>
      </c>
      <c r="E22" s="15" t="s">
        <v>187</v>
      </c>
      <c r="F22" s="15" t="s">
        <v>188</v>
      </c>
      <c r="G22" s="15" t="s">
        <v>189</v>
      </c>
    </row>
    <row r="23" s="1" customFormat="1" ht="42" customHeight="1" spans="1:7">
      <c r="A23" s="15" t="s">
        <v>190</v>
      </c>
      <c r="B23" s="15" t="s">
        <v>191</v>
      </c>
      <c r="C23" s="15" t="s">
        <v>128</v>
      </c>
      <c r="D23" s="15" t="s">
        <v>192</v>
      </c>
      <c r="E23" s="15" t="s">
        <v>193</v>
      </c>
      <c r="F23" s="15" t="s">
        <v>194</v>
      </c>
      <c r="G23" s="15" t="s">
        <v>195</v>
      </c>
    </row>
    <row r="24" s="1" customFormat="1" ht="42" customHeight="1" spans="1:7">
      <c r="A24" s="15">
        <v>2.9</v>
      </c>
      <c r="B24" s="15" t="s">
        <v>196</v>
      </c>
      <c r="C24" s="15" t="s">
        <v>117</v>
      </c>
      <c r="D24" s="15" t="s">
        <v>192</v>
      </c>
      <c r="E24" s="15" t="s">
        <v>197</v>
      </c>
      <c r="F24" s="15" t="s">
        <v>198</v>
      </c>
      <c r="G24" s="15" t="s">
        <v>199</v>
      </c>
    </row>
    <row r="25" s="1" customFormat="1" ht="42" customHeight="1" spans="1:7">
      <c r="A25" s="15">
        <v>2.1</v>
      </c>
      <c r="B25" s="15" t="s">
        <v>200</v>
      </c>
      <c r="C25" s="15" t="s">
        <v>128</v>
      </c>
      <c r="D25" s="15" t="s">
        <v>201</v>
      </c>
      <c r="E25" s="15" t="s">
        <v>202</v>
      </c>
      <c r="F25" s="15" t="s">
        <v>203</v>
      </c>
      <c r="G25" s="15" t="s">
        <v>204</v>
      </c>
    </row>
    <row r="27" s="1" customFormat="1" ht="32" customHeight="1" spans="1:7">
      <c r="A27" s="26" t="s">
        <v>205</v>
      </c>
      <c r="B27" s="27"/>
      <c r="C27" s="27"/>
      <c r="D27" s="27"/>
      <c r="E27" s="27"/>
      <c r="F27" s="27"/>
      <c r="G27" s="27"/>
    </row>
    <row r="28" s="1" customFormat="1" ht="30" customHeight="1" spans="1:7">
      <c r="A28" s="6" t="s">
        <v>57</v>
      </c>
      <c r="B28" s="6" t="s">
        <v>96</v>
      </c>
      <c r="C28" s="6" t="s">
        <v>150</v>
      </c>
      <c r="D28" s="6" t="s">
        <v>98</v>
      </c>
      <c r="E28" s="6" t="s">
        <v>99</v>
      </c>
      <c r="F28" s="6" t="s">
        <v>100</v>
      </c>
      <c r="G28" s="6" t="s">
        <v>101</v>
      </c>
    </row>
    <row r="29" s="1" customFormat="1" ht="42" customHeight="1" spans="1:7">
      <c r="A29" s="10" t="s">
        <v>206</v>
      </c>
      <c r="B29" s="10" t="s">
        <v>207</v>
      </c>
      <c r="C29" s="10" t="s">
        <v>104</v>
      </c>
      <c r="D29" s="10" t="s">
        <v>208</v>
      </c>
      <c r="E29" s="10" t="s">
        <v>209</v>
      </c>
      <c r="F29" s="10" t="s">
        <v>210</v>
      </c>
      <c r="G29" s="10" t="s">
        <v>211</v>
      </c>
    </row>
    <row r="30" s="1" customFormat="1" ht="42" customHeight="1" spans="1:7">
      <c r="A30" s="15" t="s">
        <v>212</v>
      </c>
      <c r="B30" s="15" t="s">
        <v>213</v>
      </c>
      <c r="C30" s="15" t="s">
        <v>214</v>
      </c>
      <c r="D30" s="15" t="s">
        <v>215</v>
      </c>
      <c r="E30" s="15" t="s">
        <v>216</v>
      </c>
      <c r="F30" s="15" t="s">
        <v>217</v>
      </c>
      <c r="G30" s="15" t="s">
        <v>218</v>
      </c>
    </row>
    <row r="31" s="1" customFormat="1" ht="42" customHeight="1" spans="1:7">
      <c r="A31" s="15" t="s">
        <v>219</v>
      </c>
      <c r="B31" s="15" t="s">
        <v>220</v>
      </c>
      <c r="C31" s="15" t="s">
        <v>221</v>
      </c>
      <c r="D31" s="15" t="s">
        <v>222</v>
      </c>
      <c r="E31" s="15" t="s">
        <v>223</v>
      </c>
      <c r="F31" s="15" t="s">
        <v>224</v>
      </c>
      <c r="G31" s="15" t="s">
        <v>225</v>
      </c>
    </row>
    <row r="32" s="1" customFormat="1" ht="42" customHeight="1" spans="1:7">
      <c r="A32" s="15" t="s">
        <v>226</v>
      </c>
      <c r="B32" s="15" t="s">
        <v>227</v>
      </c>
      <c r="C32" s="15" t="s">
        <v>128</v>
      </c>
      <c r="D32" s="15" t="s">
        <v>228</v>
      </c>
      <c r="E32" s="15" t="s">
        <v>229</v>
      </c>
      <c r="F32" s="15" t="s">
        <v>230</v>
      </c>
      <c r="G32" s="15" t="s">
        <v>231</v>
      </c>
    </row>
    <row r="33" s="1" customFormat="1" ht="42" customHeight="1" spans="1:7">
      <c r="A33" s="15" t="s">
        <v>232</v>
      </c>
      <c r="B33" s="15" t="s">
        <v>233</v>
      </c>
      <c r="C33" s="15" t="s">
        <v>128</v>
      </c>
      <c r="D33" s="15" t="s">
        <v>228</v>
      </c>
      <c r="E33" s="15" t="s">
        <v>234</v>
      </c>
      <c r="F33" s="15" t="s">
        <v>235</v>
      </c>
      <c r="G33" s="15" t="s">
        <v>236</v>
      </c>
    </row>
    <row r="34" s="1" customFormat="1" ht="42" customHeight="1" spans="1:7">
      <c r="A34" s="15" t="s">
        <v>237</v>
      </c>
      <c r="B34" s="15" t="s">
        <v>238</v>
      </c>
      <c r="C34" s="15" t="s">
        <v>117</v>
      </c>
      <c r="D34" s="15" t="s">
        <v>228</v>
      </c>
      <c r="E34" s="15" t="s">
        <v>239</v>
      </c>
      <c r="F34" s="15" t="s">
        <v>240</v>
      </c>
      <c r="G34" s="15" t="s">
        <v>241</v>
      </c>
    </row>
    <row r="35" s="1" customFormat="1" ht="42" customHeight="1" spans="1:7">
      <c r="A35" s="15" t="s">
        <v>242</v>
      </c>
      <c r="B35" s="15" t="s">
        <v>243</v>
      </c>
      <c r="C35" s="15" t="s">
        <v>128</v>
      </c>
      <c r="D35" s="15" t="s">
        <v>228</v>
      </c>
      <c r="E35" s="15" t="s">
        <v>244</v>
      </c>
      <c r="F35" s="15" t="s">
        <v>245</v>
      </c>
      <c r="G35" s="15" t="s">
        <v>246</v>
      </c>
    </row>
    <row r="36" s="1" customFormat="1" ht="42" customHeight="1" spans="1:7">
      <c r="A36" s="15" t="s">
        <v>247</v>
      </c>
      <c r="B36" s="15" t="s">
        <v>248</v>
      </c>
      <c r="C36" s="15" t="s">
        <v>128</v>
      </c>
      <c r="D36" s="15" t="s">
        <v>228</v>
      </c>
      <c r="E36" s="15" t="s">
        <v>249</v>
      </c>
      <c r="F36" s="15" t="s">
        <v>250</v>
      </c>
      <c r="G36" s="15" t="s">
        <v>251</v>
      </c>
    </row>
    <row r="37" s="1" customFormat="1" ht="42" customHeight="1" spans="1:7">
      <c r="A37" s="15" t="s">
        <v>252</v>
      </c>
      <c r="B37" s="15" t="s">
        <v>253</v>
      </c>
      <c r="C37" s="15" t="s">
        <v>104</v>
      </c>
      <c r="D37" s="15" t="s">
        <v>254</v>
      </c>
      <c r="E37" s="15" t="s">
        <v>255</v>
      </c>
      <c r="F37" s="15" t="s">
        <v>256</v>
      </c>
      <c r="G37" s="15" t="s">
        <v>257</v>
      </c>
    </row>
    <row r="39" s="1" customFormat="1" ht="32" customHeight="1" spans="1:7">
      <c r="A39" s="26" t="s">
        <v>258</v>
      </c>
      <c r="B39" s="27"/>
      <c r="C39" s="27"/>
      <c r="D39" s="27"/>
      <c r="E39" s="27"/>
      <c r="F39" s="27"/>
      <c r="G39" s="27"/>
    </row>
    <row r="40" s="1" customFormat="1" ht="30" customHeight="1" spans="1:7">
      <c r="A40" s="6" t="s">
        <v>57</v>
      </c>
      <c r="B40" s="6" t="s">
        <v>96</v>
      </c>
      <c r="C40" s="6" t="s">
        <v>150</v>
      </c>
      <c r="D40" s="6" t="s">
        <v>98</v>
      </c>
      <c r="E40" s="6" t="s">
        <v>99</v>
      </c>
      <c r="F40" s="6" t="s">
        <v>100</v>
      </c>
      <c r="G40" s="6" t="s">
        <v>101</v>
      </c>
    </row>
    <row r="41" s="1" customFormat="1" ht="42" customHeight="1" spans="1:7">
      <c r="A41" s="10" t="s">
        <v>259</v>
      </c>
      <c r="B41" s="10" t="s">
        <v>260</v>
      </c>
      <c r="C41" s="10" t="s">
        <v>104</v>
      </c>
      <c r="D41" s="10" t="s">
        <v>254</v>
      </c>
      <c r="E41" s="10" t="s">
        <v>261</v>
      </c>
      <c r="F41" s="10" t="s">
        <v>262</v>
      </c>
      <c r="G41" s="10" t="s">
        <v>263</v>
      </c>
    </row>
    <row r="42" s="1" customFormat="1" ht="42" customHeight="1" spans="1:7">
      <c r="A42" s="15" t="s">
        <v>264</v>
      </c>
      <c r="B42" s="15" t="s">
        <v>265</v>
      </c>
      <c r="C42" s="15" t="s">
        <v>117</v>
      </c>
      <c r="D42" s="15" t="s">
        <v>266</v>
      </c>
      <c r="E42" s="15" t="s">
        <v>267</v>
      </c>
      <c r="F42" s="15" t="s">
        <v>268</v>
      </c>
      <c r="G42" s="15" t="s">
        <v>269</v>
      </c>
    </row>
    <row r="43" s="1" customFormat="1" ht="42" customHeight="1" spans="1:7">
      <c r="A43" s="15" t="s">
        <v>270</v>
      </c>
      <c r="B43" s="15" t="s">
        <v>271</v>
      </c>
      <c r="C43" s="15" t="s">
        <v>128</v>
      </c>
      <c r="D43" s="15" t="s">
        <v>272</v>
      </c>
      <c r="E43" s="15" t="s">
        <v>273</v>
      </c>
      <c r="F43" s="15" t="s">
        <v>274</v>
      </c>
      <c r="G43" s="15" t="s">
        <v>275</v>
      </c>
    </row>
    <row r="44" s="1" customFormat="1" ht="42" customHeight="1" spans="1:7">
      <c r="A44" s="15" t="s">
        <v>276</v>
      </c>
      <c r="B44" s="15" t="s">
        <v>277</v>
      </c>
      <c r="C44" s="15" t="s">
        <v>128</v>
      </c>
      <c r="D44" s="15" t="s">
        <v>278</v>
      </c>
      <c r="E44" s="15" t="s">
        <v>279</v>
      </c>
      <c r="F44" s="15" t="s">
        <v>280</v>
      </c>
      <c r="G44" s="15" t="s">
        <v>281</v>
      </c>
    </row>
    <row r="45" s="1" customFormat="1" ht="42" customHeight="1" spans="1:7">
      <c r="A45" s="15" t="s">
        <v>282</v>
      </c>
      <c r="B45" s="15" t="s">
        <v>283</v>
      </c>
      <c r="C45" s="15" t="s">
        <v>104</v>
      </c>
      <c r="D45" s="15" t="s">
        <v>284</v>
      </c>
      <c r="E45" s="15" t="s">
        <v>285</v>
      </c>
      <c r="F45" s="15" t="s">
        <v>286</v>
      </c>
      <c r="G45" s="15" t="s">
        <v>287</v>
      </c>
    </row>
    <row r="47" s="1" customFormat="1" ht="32" customHeight="1" spans="1:7">
      <c r="A47" s="26" t="s">
        <v>288</v>
      </c>
      <c r="B47" s="27"/>
      <c r="C47" s="27"/>
      <c r="D47" s="27"/>
      <c r="E47" s="27"/>
      <c r="F47" s="27"/>
      <c r="G47" s="27"/>
    </row>
    <row r="48" s="1" customFormat="1" ht="30" customHeight="1" spans="1:7">
      <c r="A48" s="6" t="s">
        <v>57</v>
      </c>
      <c r="B48" s="6" t="s">
        <v>96</v>
      </c>
      <c r="C48" s="6" t="s">
        <v>150</v>
      </c>
      <c r="D48" s="6" t="s">
        <v>98</v>
      </c>
      <c r="E48" s="6" t="s">
        <v>99</v>
      </c>
      <c r="F48" s="6" t="s">
        <v>100</v>
      </c>
      <c r="G48" s="6" t="s">
        <v>101</v>
      </c>
    </row>
    <row r="49" s="1" customFormat="1" ht="42" customHeight="1" spans="1:7">
      <c r="A49" s="10" t="s">
        <v>289</v>
      </c>
      <c r="B49" s="10" t="s">
        <v>290</v>
      </c>
      <c r="C49" s="10" t="s">
        <v>104</v>
      </c>
      <c r="D49" s="10" t="s">
        <v>291</v>
      </c>
      <c r="E49" s="10" t="s">
        <v>292</v>
      </c>
      <c r="F49" s="10" t="s">
        <v>293</v>
      </c>
      <c r="G49" s="10" t="s">
        <v>294</v>
      </c>
    </row>
    <row r="50" s="1" customFormat="1" ht="42" customHeight="1" spans="1:7">
      <c r="A50" s="15" t="s">
        <v>295</v>
      </c>
      <c r="B50" s="15" t="s">
        <v>296</v>
      </c>
      <c r="C50" s="15" t="s">
        <v>104</v>
      </c>
      <c r="D50" s="15" t="s">
        <v>297</v>
      </c>
      <c r="E50" s="15" t="s">
        <v>298</v>
      </c>
      <c r="F50" s="15" t="s">
        <v>299</v>
      </c>
      <c r="G50" s="15" t="s">
        <v>300</v>
      </c>
    </row>
    <row r="51" s="1" customFormat="1" ht="42" customHeight="1" spans="1:7">
      <c r="A51" s="15" t="s">
        <v>301</v>
      </c>
      <c r="B51" s="15" t="s">
        <v>302</v>
      </c>
      <c r="C51" s="15" t="s">
        <v>104</v>
      </c>
      <c r="D51" s="15" t="s">
        <v>303</v>
      </c>
      <c r="E51" s="15" t="s">
        <v>304</v>
      </c>
      <c r="F51" s="15" t="s">
        <v>305</v>
      </c>
      <c r="G51" s="15" t="s">
        <v>306</v>
      </c>
    </row>
    <row r="52" s="1" customFormat="1" ht="42" customHeight="1" spans="1:7">
      <c r="A52" s="15" t="s">
        <v>307</v>
      </c>
      <c r="B52" s="15" t="s">
        <v>308</v>
      </c>
      <c r="C52" s="15" t="s">
        <v>309</v>
      </c>
      <c r="D52" s="15" t="s">
        <v>310</v>
      </c>
      <c r="E52" s="15" t="s">
        <v>311</v>
      </c>
      <c r="F52" s="15" t="s">
        <v>312</v>
      </c>
      <c r="G52" s="15" t="s">
        <v>313</v>
      </c>
    </row>
    <row r="53" s="1" customFormat="1" ht="42" customHeight="1" spans="1:7">
      <c r="A53" s="15" t="s">
        <v>314</v>
      </c>
      <c r="B53" s="15" t="s">
        <v>315</v>
      </c>
      <c r="C53" s="15" t="s">
        <v>316</v>
      </c>
      <c r="D53" s="15" t="s">
        <v>317</v>
      </c>
      <c r="E53" s="15" t="s">
        <v>318</v>
      </c>
      <c r="F53" s="15" t="s">
        <v>319</v>
      </c>
      <c r="G53" s="15" t="s">
        <v>320</v>
      </c>
    </row>
  </sheetData>
  <mergeCells count="6">
    <mergeCell ref="A1:G1"/>
    <mergeCell ref="A3:G3"/>
    <mergeCell ref="A14:G14"/>
    <mergeCell ref="A27:G27"/>
    <mergeCell ref="A39:G39"/>
    <mergeCell ref="A47:G47"/>
  </mergeCells>
  <pageMargins left="0.75" right="0.75" top="1" bottom="1" header="0.5" footer="0.5"/>
  <headerFooter/>
  <ignoredErrors>
    <ignoredError sqref="A5:A12 A16:A23 A29:A37 A41:A45 A49:A53"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zoomScale="80" zoomScaleNormal="80" workbookViewId="0">
      <selection activeCell="A1" sqref="A1:H1"/>
    </sheetView>
  </sheetViews>
  <sheetFormatPr defaultColWidth="9" defaultRowHeight="14.4" outlineLevelCol="7"/>
  <cols>
    <col min="1" max="1" width="35.6666666666667" style="1" customWidth="1"/>
    <col min="2" max="4" width="21" style="1" customWidth="1"/>
    <col min="5" max="5" width="22" style="1" customWidth="1"/>
    <col min="6" max="6" width="16.7777777777778" style="1" customWidth="1"/>
    <col min="7" max="7" width="7" style="1" customWidth="1"/>
    <col min="8" max="8" width="68.0555555555556" style="1" customWidth="1"/>
    <col min="9" max="16381" width="9" style="1"/>
  </cols>
  <sheetData>
    <row r="1" s="1" customFormat="1" ht="43" customHeight="1" spans="1:8">
      <c r="A1" s="2" t="s">
        <v>321</v>
      </c>
      <c r="B1" s="2"/>
      <c r="C1" s="2"/>
      <c r="D1" s="2"/>
      <c r="E1" s="3"/>
      <c r="F1" s="3"/>
      <c r="G1" s="3"/>
      <c r="H1" s="3"/>
    </row>
    <row r="2" s="1" customFormat="1"/>
    <row r="3" s="1" customFormat="1" ht="28" customHeight="1" spans="1:8">
      <c r="A3" s="4" t="s">
        <v>322</v>
      </c>
      <c r="B3" s="4"/>
      <c r="C3" s="4"/>
      <c r="D3" s="4"/>
      <c r="E3" s="5"/>
      <c r="F3" s="5"/>
      <c r="G3" s="5"/>
      <c r="H3" s="5"/>
    </row>
    <row r="4" s="1" customFormat="1" ht="34" customHeight="1" spans="1:8">
      <c r="A4" s="6" t="s">
        <v>323</v>
      </c>
      <c r="B4" s="6" t="s">
        <v>324</v>
      </c>
      <c r="C4" s="6" t="s">
        <v>325</v>
      </c>
      <c r="D4" s="6" t="s">
        <v>326</v>
      </c>
      <c r="E4" s="6" t="s">
        <v>327</v>
      </c>
      <c r="F4" s="6" t="s">
        <v>328</v>
      </c>
      <c r="G4" s="6" t="s">
        <v>329</v>
      </c>
      <c r="H4" s="6" t="s">
        <v>330</v>
      </c>
    </row>
    <row r="5" s="1" customFormat="1" ht="36" customHeight="1" spans="1:8">
      <c r="A5" s="7" t="s">
        <v>17</v>
      </c>
      <c r="B5" s="8">
        <v>449.57</v>
      </c>
      <c r="C5" s="8">
        <v>362.18</v>
      </c>
      <c r="D5" s="9" t="s">
        <v>331</v>
      </c>
      <c r="E5" s="10" t="s">
        <v>332</v>
      </c>
      <c r="F5" s="7" t="s">
        <v>333</v>
      </c>
      <c r="G5" s="11" t="s">
        <v>334</v>
      </c>
      <c r="H5" s="10" t="s">
        <v>335</v>
      </c>
    </row>
    <row r="6" s="1" customFormat="1" ht="36" customHeight="1" spans="1:8">
      <c r="A6" s="12"/>
      <c r="B6" s="13"/>
      <c r="C6" s="13"/>
      <c r="D6" s="14"/>
      <c r="E6" s="15" t="s">
        <v>336</v>
      </c>
      <c r="F6" s="12"/>
      <c r="G6" s="16"/>
      <c r="H6" s="15" t="s">
        <v>337</v>
      </c>
    </row>
    <row r="7" s="1" customFormat="1" ht="36" customHeight="1" spans="1:8">
      <c r="A7" s="12" t="s">
        <v>18</v>
      </c>
      <c r="B7" s="13">
        <v>190.29</v>
      </c>
      <c r="C7" s="13">
        <v>130</v>
      </c>
      <c r="D7" s="14" t="s">
        <v>338</v>
      </c>
      <c r="E7" s="15" t="s">
        <v>339</v>
      </c>
      <c r="F7" s="12" t="s">
        <v>333</v>
      </c>
      <c r="G7" s="16" t="s">
        <v>334</v>
      </c>
      <c r="H7" s="15" t="s">
        <v>340</v>
      </c>
    </row>
    <row r="8" s="1" customFormat="1" ht="36" customHeight="1" spans="1:8">
      <c r="A8" s="12" t="s">
        <v>19</v>
      </c>
      <c r="B8" s="13">
        <v>59.39</v>
      </c>
      <c r="C8" s="13">
        <v>40</v>
      </c>
      <c r="D8" s="14" t="s">
        <v>341</v>
      </c>
      <c r="E8" s="15" t="s">
        <v>342</v>
      </c>
      <c r="F8" s="12" t="s">
        <v>343</v>
      </c>
      <c r="G8" s="14" t="s">
        <v>344</v>
      </c>
      <c r="H8" s="15" t="s">
        <v>345</v>
      </c>
    </row>
    <row r="9" s="1" customFormat="1" ht="36" customHeight="1" spans="1:8">
      <c r="A9" s="12" t="s">
        <v>20</v>
      </c>
      <c r="B9" s="13">
        <v>4.98</v>
      </c>
      <c r="C9" s="13">
        <v>3</v>
      </c>
      <c r="D9" s="14" t="s">
        <v>346</v>
      </c>
      <c r="E9" s="15" t="s">
        <v>342</v>
      </c>
      <c r="F9" s="12" t="s">
        <v>343</v>
      </c>
      <c r="G9" s="14" t="s">
        <v>344</v>
      </c>
      <c r="H9" s="15" t="s">
        <v>345</v>
      </c>
    </row>
    <row r="10" s="1" customFormat="1" ht="46.8" spans="1:8">
      <c r="A10" s="12" t="s">
        <v>21</v>
      </c>
      <c r="B10" s="13">
        <v>21.13</v>
      </c>
      <c r="C10" s="13">
        <v>15</v>
      </c>
      <c r="D10" s="14" t="s">
        <v>347</v>
      </c>
      <c r="E10" s="15" t="s">
        <v>348</v>
      </c>
      <c r="F10" s="12" t="s">
        <v>333</v>
      </c>
      <c r="G10" s="17" t="s">
        <v>349</v>
      </c>
      <c r="H10" s="18" t="s">
        <v>350</v>
      </c>
    </row>
    <row r="11" s="1" customFormat="1" ht="18" customHeight="1"/>
    <row r="12" s="1" customFormat="1" ht="28" customHeight="1" spans="1:8">
      <c r="A12" s="4" t="s">
        <v>351</v>
      </c>
      <c r="B12" s="4"/>
      <c r="C12" s="4"/>
      <c r="D12" s="4"/>
      <c r="E12" s="5"/>
      <c r="F12" s="5"/>
      <c r="G12" s="5"/>
      <c r="H12" s="5"/>
    </row>
    <row r="13" s="1" customFormat="1" ht="36" customHeight="1" spans="1:8">
      <c r="A13" s="6" t="s">
        <v>323</v>
      </c>
      <c r="B13" s="6" t="s">
        <v>324</v>
      </c>
      <c r="C13" s="6" t="s">
        <v>325</v>
      </c>
      <c r="D13" s="6" t="s">
        <v>326</v>
      </c>
      <c r="E13" s="6" t="s">
        <v>327</v>
      </c>
      <c r="F13" s="6" t="s">
        <v>328</v>
      </c>
      <c r="G13" s="6" t="s">
        <v>329</v>
      </c>
      <c r="H13" s="6" t="s">
        <v>330</v>
      </c>
    </row>
    <row r="14" s="1" customFormat="1" ht="36" customHeight="1" spans="1:8">
      <c r="A14" s="7" t="s">
        <v>24</v>
      </c>
      <c r="B14" s="8">
        <v>12.21</v>
      </c>
      <c r="C14" s="8">
        <v>9</v>
      </c>
      <c r="D14" s="9" t="s">
        <v>352</v>
      </c>
      <c r="E14" s="10" t="s">
        <v>353</v>
      </c>
      <c r="F14" s="7" t="s">
        <v>343</v>
      </c>
      <c r="G14" s="9" t="s">
        <v>344</v>
      </c>
      <c r="H14" s="10" t="s">
        <v>354</v>
      </c>
    </row>
    <row r="15" s="1" customFormat="1" ht="62.4" spans="1:8">
      <c r="A15" s="12"/>
      <c r="B15" s="13"/>
      <c r="C15" s="13"/>
      <c r="D15" s="14"/>
      <c r="E15" s="15" t="s">
        <v>355</v>
      </c>
      <c r="F15" s="12" t="s">
        <v>333</v>
      </c>
      <c r="G15" s="17" t="s">
        <v>349</v>
      </c>
      <c r="H15" s="18" t="s">
        <v>356</v>
      </c>
    </row>
    <row r="16" s="1" customFormat="1" ht="36" customHeight="1" spans="1:8">
      <c r="A16" s="12"/>
      <c r="B16" s="13"/>
      <c r="C16" s="13"/>
      <c r="D16" s="14"/>
      <c r="E16" s="15" t="s">
        <v>357</v>
      </c>
      <c r="F16" s="12" t="s">
        <v>333</v>
      </c>
      <c r="G16" s="17" t="s">
        <v>349</v>
      </c>
      <c r="H16" s="15" t="s">
        <v>358</v>
      </c>
    </row>
    <row r="17" s="1" customFormat="1" ht="36" customHeight="1" spans="1:8">
      <c r="A17" s="12"/>
      <c r="B17" s="13"/>
      <c r="C17" s="13"/>
      <c r="D17" s="14"/>
      <c r="E17" s="15" t="s">
        <v>359</v>
      </c>
      <c r="F17" s="12" t="s">
        <v>333</v>
      </c>
      <c r="G17" s="14" t="s">
        <v>344</v>
      </c>
      <c r="H17" s="15" t="s">
        <v>360</v>
      </c>
    </row>
    <row r="18" s="1" customFormat="1" ht="36" customHeight="1" spans="1:8">
      <c r="A18" s="12"/>
      <c r="B18" s="13"/>
      <c r="C18" s="13"/>
      <c r="D18" s="14"/>
      <c r="E18" s="15" t="s">
        <v>361</v>
      </c>
      <c r="F18" s="12" t="s">
        <v>333</v>
      </c>
      <c r="G18" s="17" t="s">
        <v>349</v>
      </c>
      <c r="H18" s="18" t="s">
        <v>362</v>
      </c>
    </row>
    <row r="19" s="1" customFormat="1" ht="78" spans="1:8">
      <c r="A19" s="12" t="s">
        <v>22</v>
      </c>
      <c r="B19" s="13">
        <v>13.92</v>
      </c>
      <c r="C19" s="13">
        <v>1.5</v>
      </c>
      <c r="D19" s="14" t="s">
        <v>363</v>
      </c>
      <c r="E19" s="15" t="s">
        <v>364</v>
      </c>
      <c r="F19" s="12" t="s">
        <v>333</v>
      </c>
      <c r="G19" s="16" t="s">
        <v>334</v>
      </c>
      <c r="H19" s="18" t="s">
        <v>365</v>
      </c>
    </row>
    <row r="20" s="1" customFormat="1" ht="18" customHeight="1"/>
    <row r="21" s="1" customFormat="1" ht="28" customHeight="1" spans="1:8">
      <c r="A21" s="4" t="s">
        <v>366</v>
      </c>
      <c r="B21" s="4"/>
      <c r="C21" s="4"/>
      <c r="D21" s="4"/>
      <c r="E21" s="5"/>
      <c r="F21" s="5"/>
      <c r="G21" s="5"/>
      <c r="H21" s="5"/>
    </row>
    <row r="22" s="1" customFormat="1" ht="36" customHeight="1" spans="1:8">
      <c r="A22" s="6" t="s">
        <v>323</v>
      </c>
      <c r="B22" s="6" t="s">
        <v>324</v>
      </c>
      <c r="C22" s="6" t="s">
        <v>325</v>
      </c>
      <c r="D22" s="6" t="s">
        <v>326</v>
      </c>
      <c r="E22" s="6" t="s">
        <v>327</v>
      </c>
      <c r="F22" s="6" t="s">
        <v>328</v>
      </c>
      <c r="G22" s="6" t="s">
        <v>329</v>
      </c>
      <c r="H22" s="6" t="s">
        <v>330</v>
      </c>
    </row>
    <row r="23" s="1" customFormat="1" ht="36" customHeight="1" spans="1:8">
      <c r="A23" s="7" t="s">
        <v>23</v>
      </c>
      <c r="B23" s="8">
        <v>9.67</v>
      </c>
      <c r="C23" s="8">
        <v>9</v>
      </c>
      <c r="D23" s="9" t="s">
        <v>367</v>
      </c>
      <c r="E23" s="10" t="s">
        <v>368</v>
      </c>
      <c r="F23" s="7" t="s">
        <v>333</v>
      </c>
      <c r="G23" s="19" t="s">
        <v>349</v>
      </c>
      <c r="H23" s="20" t="s">
        <v>369</v>
      </c>
    </row>
    <row r="24" s="1" customFormat="1" ht="36" customHeight="1" spans="1:8">
      <c r="A24" s="12" t="s">
        <v>25</v>
      </c>
      <c r="B24" s="13">
        <v>1.62</v>
      </c>
      <c r="C24" s="13">
        <v>0.3</v>
      </c>
      <c r="D24" s="14" t="s">
        <v>370</v>
      </c>
      <c r="E24" s="15" t="s">
        <v>371</v>
      </c>
      <c r="F24" s="12" t="s">
        <v>333</v>
      </c>
      <c r="G24" s="14" t="s">
        <v>344</v>
      </c>
      <c r="H24" s="15" t="s">
        <v>372</v>
      </c>
    </row>
    <row r="25" s="1" customFormat="1" ht="18" customHeight="1"/>
    <row r="26" s="1" customFormat="1" ht="28" customHeight="1" spans="1:8">
      <c r="A26" s="4" t="s">
        <v>373</v>
      </c>
      <c r="B26" s="4"/>
      <c r="C26" s="4"/>
      <c r="D26" s="4"/>
      <c r="E26" s="5"/>
      <c r="F26" s="5"/>
      <c r="G26" s="5"/>
      <c r="H26" s="5"/>
    </row>
    <row r="27" s="1" customFormat="1" ht="36" customHeight="1" spans="1:8">
      <c r="A27" s="6" t="s">
        <v>323</v>
      </c>
      <c r="B27" s="6" t="s">
        <v>324</v>
      </c>
      <c r="C27" s="6" t="s">
        <v>325</v>
      </c>
      <c r="D27" s="6" t="s">
        <v>326</v>
      </c>
      <c r="E27" s="6" t="s">
        <v>327</v>
      </c>
      <c r="F27" s="6" t="s">
        <v>328</v>
      </c>
      <c r="G27" s="6" t="s">
        <v>329</v>
      </c>
      <c r="H27" s="6" t="s">
        <v>330</v>
      </c>
    </row>
    <row r="28" s="1" customFormat="1" ht="36" customHeight="1" spans="1:8">
      <c r="A28" s="7" t="s">
        <v>28</v>
      </c>
      <c r="B28" s="8">
        <v>29.92</v>
      </c>
      <c r="C28" s="8">
        <v>30</v>
      </c>
      <c r="D28" s="21" t="s">
        <v>374</v>
      </c>
      <c r="E28" s="10" t="s">
        <v>375</v>
      </c>
      <c r="F28" s="7" t="s">
        <v>333</v>
      </c>
      <c r="G28" s="19" t="s">
        <v>349</v>
      </c>
      <c r="H28" s="10" t="s">
        <v>376</v>
      </c>
    </row>
    <row r="29" s="1" customFormat="1" ht="153" customHeight="1" spans="1:8">
      <c r="A29" s="12" t="s">
        <v>29</v>
      </c>
      <c r="B29" s="13">
        <v>5.19</v>
      </c>
      <c r="C29" s="13">
        <v>3.5</v>
      </c>
      <c r="D29" s="14" t="s">
        <v>377</v>
      </c>
      <c r="E29" s="15" t="s">
        <v>378</v>
      </c>
      <c r="F29" s="12" t="s">
        <v>333</v>
      </c>
      <c r="G29" s="16" t="s">
        <v>334</v>
      </c>
      <c r="H29" s="18" t="s">
        <v>379</v>
      </c>
    </row>
    <row r="30" s="1" customFormat="1" ht="111" customHeight="1" spans="1:8">
      <c r="A30" s="12" t="s">
        <v>30</v>
      </c>
      <c r="B30" s="13">
        <v>2.22</v>
      </c>
      <c r="C30" s="13">
        <v>1</v>
      </c>
      <c r="D30" s="14" t="s">
        <v>380</v>
      </c>
      <c r="E30" s="15" t="s">
        <v>381</v>
      </c>
      <c r="F30" s="12" t="s">
        <v>333</v>
      </c>
      <c r="G30" s="16" t="s">
        <v>334</v>
      </c>
      <c r="H30" s="18" t="s">
        <v>382</v>
      </c>
    </row>
    <row r="31" s="1" customFormat="1" ht="95" customHeight="1" spans="1:8">
      <c r="A31" s="12"/>
      <c r="B31" s="13"/>
      <c r="C31" s="13"/>
      <c r="D31" s="14"/>
      <c r="E31" s="15" t="s">
        <v>383</v>
      </c>
      <c r="F31" s="12"/>
      <c r="G31" s="16"/>
      <c r="H31" s="18" t="s">
        <v>384</v>
      </c>
    </row>
    <row r="32" s="1" customFormat="1" ht="111" customHeight="1" spans="1:8">
      <c r="A32" s="12"/>
      <c r="B32" s="13"/>
      <c r="C32" s="13"/>
      <c r="D32" s="14"/>
      <c r="E32" s="15" t="s">
        <v>385</v>
      </c>
      <c r="F32" s="12"/>
      <c r="G32" s="16"/>
      <c r="H32" s="18" t="s">
        <v>386</v>
      </c>
    </row>
    <row r="33" s="1" customFormat="1" ht="108" customHeight="1" spans="1:8">
      <c r="A33" s="12" t="s">
        <v>31</v>
      </c>
      <c r="B33" s="13">
        <v>18.85</v>
      </c>
      <c r="C33" s="13">
        <v>18</v>
      </c>
      <c r="D33" s="14" t="s">
        <v>387</v>
      </c>
      <c r="E33" s="15" t="s">
        <v>388</v>
      </c>
      <c r="F33" s="12" t="s">
        <v>333</v>
      </c>
      <c r="G33" s="17" t="s">
        <v>349</v>
      </c>
      <c r="H33" s="18" t="s">
        <v>389</v>
      </c>
    </row>
    <row r="34" s="1" customFormat="1" ht="165" customHeight="1" spans="1:8">
      <c r="A34" s="12"/>
      <c r="B34" s="13"/>
      <c r="C34" s="13"/>
      <c r="D34" s="14"/>
      <c r="E34" s="15" t="s">
        <v>29</v>
      </c>
      <c r="F34" s="12"/>
      <c r="G34" s="17"/>
      <c r="H34" s="18" t="s">
        <v>390</v>
      </c>
    </row>
    <row r="35" s="1" customFormat="1" ht="36" customHeight="1" spans="1:8">
      <c r="A35" s="22" t="s">
        <v>32</v>
      </c>
      <c r="B35" s="13">
        <v>2.11</v>
      </c>
      <c r="C35" s="13">
        <v>2</v>
      </c>
      <c r="D35" s="14" t="s">
        <v>391</v>
      </c>
      <c r="E35" s="15" t="s">
        <v>371</v>
      </c>
      <c r="F35" s="12" t="s">
        <v>343</v>
      </c>
      <c r="G35" s="17" t="s">
        <v>349</v>
      </c>
      <c r="H35" s="15" t="s">
        <v>392</v>
      </c>
    </row>
    <row r="36" s="1" customFormat="1" ht="18" customHeight="1"/>
    <row r="37" s="1" customFormat="1" ht="28" customHeight="1" spans="1:8">
      <c r="A37" s="4" t="s">
        <v>393</v>
      </c>
      <c r="B37" s="4"/>
      <c r="C37" s="4"/>
      <c r="D37" s="4"/>
      <c r="E37" s="5"/>
      <c r="F37" s="5"/>
      <c r="G37" s="5"/>
      <c r="H37" s="5"/>
    </row>
    <row r="38" s="1" customFormat="1" ht="36" customHeight="1" spans="1:8">
      <c r="A38" s="6" t="s">
        <v>323</v>
      </c>
      <c r="B38" s="6" t="s">
        <v>324</v>
      </c>
      <c r="C38" s="6" t="s">
        <v>325</v>
      </c>
      <c r="D38" s="6" t="s">
        <v>326</v>
      </c>
      <c r="E38" s="6" t="s">
        <v>327</v>
      </c>
      <c r="F38" s="6" t="s">
        <v>328</v>
      </c>
      <c r="G38" s="6" t="s">
        <v>329</v>
      </c>
      <c r="H38" s="6" t="s">
        <v>330</v>
      </c>
    </row>
    <row r="39" s="1" customFormat="1" ht="36" customHeight="1" spans="1:8">
      <c r="A39" s="7" t="s">
        <v>394</v>
      </c>
      <c r="B39" s="8">
        <v>49.44</v>
      </c>
      <c r="C39" s="8">
        <v>80</v>
      </c>
      <c r="D39" s="21" t="s">
        <v>395</v>
      </c>
      <c r="E39" s="10" t="s">
        <v>396</v>
      </c>
      <c r="F39" s="7" t="s">
        <v>333</v>
      </c>
      <c r="G39" s="11" t="s">
        <v>334</v>
      </c>
      <c r="H39" s="20" t="s">
        <v>397</v>
      </c>
    </row>
    <row r="40" s="1" customFormat="1" ht="84" customHeight="1" spans="1:8">
      <c r="A40" s="12"/>
      <c r="B40" s="13"/>
      <c r="C40" s="13"/>
      <c r="D40" s="23"/>
      <c r="E40" s="15" t="s">
        <v>398</v>
      </c>
      <c r="F40" s="12"/>
      <c r="G40" s="16"/>
      <c r="H40" s="18" t="s">
        <v>399</v>
      </c>
    </row>
    <row r="41" s="1" customFormat="1" ht="53" customHeight="1" spans="1:8">
      <c r="A41" s="12"/>
      <c r="B41" s="13"/>
      <c r="C41" s="13"/>
      <c r="D41" s="23"/>
      <c r="E41" s="15" t="s">
        <v>400</v>
      </c>
      <c r="F41" s="12"/>
      <c r="G41" s="16"/>
      <c r="H41" s="18" t="s">
        <v>401</v>
      </c>
    </row>
    <row r="42" s="1" customFormat="1" ht="118" customHeight="1" spans="1:8">
      <c r="A42" s="12" t="s">
        <v>402</v>
      </c>
      <c r="B42" s="13"/>
      <c r="C42" s="13"/>
      <c r="D42" s="23"/>
      <c r="E42" s="15" t="s">
        <v>396</v>
      </c>
      <c r="F42" s="12" t="s">
        <v>333</v>
      </c>
      <c r="G42" s="16" t="s">
        <v>334</v>
      </c>
      <c r="H42" s="18" t="s">
        <v>403</v>
      </c>
    </row>
    <row r="43" s="1" customFormat="1" ht="140.4" spans="1:8">
      <c r="A43" s="12"/>
      <c r="B43" s="13"/>
      <c r="C43" s="13"/>
      <c r="D43" s="23"/>
      <c r="E43" s="15" t="s">
        <v>398</v>
      </c>
      <c r="F43" s="12"/>
      <c r="G43" s="16"/>
      <c r="H43" s="18" t="s">
        <v>404</v>
      </c>
    </row>
    <row r="44" s="1" customFormat="1" ht="46.8" spans="1:8">
      <c r="A44" s="12"/>
      <c r="B44" s="13"/>
      <c r="C44" s="13"/>
      <c r="D44" s="23"/>
      <c r="E44" s="15" t="s">
        <v>400</v>
      </c>
      <c r="F44" s="12"/>
      <c r="G44" s="16"/>
      <c r="H44" s="18" t="s">
        <v>405</v>
      </c>
    </row>
    <row r="45" s="1" customFormat="1" ht="18" customHeight="1"/>
    <row r="46" s="1" customFormat="1" ht="28" customHeight="1" spans="1:8">
      <c r="A46" s="4" t="s">
        <v>406</v>
      </c>
      <c r="B46" s="4"/>
      <c r="C46" s="4"/>
      <c r="D46" s="4"/>
      <c r="E46" s="5"/>
      <c r="F46" s="5"/>
      <c r="G46" s="5"/>
      <c r="H46" s="5"/>
    </row>
    <row r="47" s="1" customFormat="1" ht="36" customHeight="1" spans="1:8">
      <c r="A47" s="6" t="s">
        <v>323</v>
      </c>
      <c r="B47" s="6" t="s">
        <v>324</v>
      </c>
      <c r="C47" s="6" t="s">
        <v>325</v>
      </c>
      <c r="D47" s="6" t="s">
        <v>326</v>
      </c>
      <c r="E47" s="6" t="s">
        <v>327</v>
      </c>
      <c r="F47" s="6" t="s">
        <v>328</v>
      </c>
      <c r="G47" s="6" t="s">
        <v>329</v>
      </c>
      <c r="H47" s="6" t="s">
        <v>330</v>
      </c>
    </row>
    <row r="48" s="1" customFormat="1" ht="36" customHeight="1" spans="1:8">
      <c r="A48" s="7" t="s">
        <v>26</v>
      </c>
      <c r="B48" s="8">
        <v>26.5</v>
      </c>
      <c r="C48" s="8">
        <v>26</v>
      </c>
      <c r="D48" s="9" t="s">
        <v>407</v>
      </c>
      <c r="E48" s="10" t="s">
        <v>408</v>
      </c>
      <c r="F48" s="7" t="s">
        <v>343</v>
      </c>
      <c r="G48" s="9" t="s">
        <v>344</v>
      </c>
      <c r="H48" s="10" t="s">
        <v>409</v>
      </c>
    </row>
    <row r="49" s="1" customFormat="1" ht="36" customHeight="1" spans="1:8">
      <c r="A49" s="12" t="s">
        <v>27</v>
      </c>
      <c r="B49" s="13">
        <v>64.66</v>
      </c>
      <c r="C49" s="13">
        <v>50</v>
      </c>
      <c r="D49" s="14" t="s">
        <v>410</v>
      </c>
      <c r="E49" s="15" t="s">
        <v>411</v>
      </c>
      <c r="F49" s="12" t="s">
        <v>343</v>
      </c>
      <c r="G49" s="14" t="s">
        <v>344</v>
      </c>
      <c r="H49" s="15" t="s">
        <v>412</v>
      </c>
    </row>
    <row r="50" s="1" customFormat="1" ht="93.6" spans="1:8">
      <c r="A50" s="12"/>
      <c r="B50" s="13"/>
      <c r="C50" s="13"/>
      <c r="D50" s="14"/>
      <c r="E50" s="15" t="s">
        <v>413</v>
      </c>
      <c r="F50" s="12" t="s">
        <v>333</v>
      </c>
      <c r="G50" s="17" t="s">
        <v>349</v>
      </c>
      <c r="H50" s="15" t="s">
        <v>414</v>
      </c>
    </row>
    <row r="51" s="1" customFormat="1" ht="31.2" spans="1:8">
      <c r="A51" s="12" t="s">
        <v>33</v>
      </c>
      <c r="B51" s="13">
        <v>71.41</v>
      </c>
      <c r="C51" s="13">
        <v>100</v>
      </c>
      <c r="D51" s="23" t="s">
        <v>415</v>
      </c>
      <c r="E51" s="15" t="s">
        <v>416</v>
      </c>
      <c r="F51" s="12" t="s">
        <v>417</v>
      </c>
      <c r="G51" s="14" t="s">
        <v>344</v>
      </c>
      <c r="H51" s="15" t="s">
        <v>418</v>
      </c>
    </row>
    <row r="52" s="1" customFormat="1" ht="36" customHeight="1" spans="1:8">
      <c r="A52" s="12" t="s">
        <v>34</v>
      </c>
      <c r="B52" s="13">
        <v>41.34</v>
      </c>
      <c r="C52" s="13">
        <v>30</v>
      </c>
      <c r="D52" s="14" t="s">
        <v>419</v>
      </c>
      <c r="E52" s="15" t="s">
        <v>371</v>
      </c>
      <c r="F52" s="12" t="s">
        <v>417</v>
      </c>
      <c r="G52" s="14" t="s">
        <v>344</v>
      </c>
      <c r="H52" s="15" t="s">
        <v>420</v>
      </c>
    </row>
    <row r="53" s="1" customFormat="1" ht="36" customHeight="1" spans="1:8">
      <c r="A53" s="12" t="s">
        <v>35</v>
      </c>
      <c r="B53" s="13">
        <v>14.43</v>
      </c>
      <c r="C53" s="13">
        <v>14</v>
      </c>
      <c r="D53" s="14" t="s">
        <v>421</v>
      </c>
      <c r="E53" s="15" t="s">
        <v>422</v>
      </c>
      <c r="F53" s="12" t="s">
        <v>343</v>
      </c>
      <c r="G53" s="14" t="s">
        <v>344</v>
      </c>
      <c r="H53" s="15" t="s">
        <v>423</v>
      </c>
    </row>
    <row r="54" s="1" customFormat="1" ht="36" customHeight="1" spans="1:8">
      <c r="A54" s="12" t="s">
        <v>36</v>
      </c>
      <c r="B54" s="13">
        <v>134.86</v>
      </c>
      <c r="C54" s="13">
        <v>1105.35</v>
      </c>
      <c r="D54" s="23" t="s">
        <v>424</v>
      </c>
      <c r="E54" s="15" t="s">
        <v>371</v>
      </c>
      <c r="F54" s="12" t="s">
        <v>343</v>
      </c>
      <c r="G54" s="14" t="s">
        <v>344</v>
      </c>
      <c r="H54" s="15" t="s">
        <v>425</v>
      </c>
    </row>
    <row r="55" s="1" customFormat="1" ht="36" customHeight="1" spans="1:8">
      <c r="A55" s="12" t="s">
        <v>37</v>
      </c>
      <c r="B55" s="13">
        <v>27.47</v>
      </c>
      <c r="C55" s="13">
        <v>109.2</v>
      </c>
      <c r="D55" s="23" t="s">
        <v>426</v>
      </c>
      <c r="E55" s="15" t="s">
        <v>371</v>
      </c>
      <c r="F55" s="12" t="s">
        <v>343</v>
      </c>
      <c r="G55" s="14" t="s">
        <v>344</v>
      </c>
      <c r="H55" s="15" t="s">
        <v>427</v>
      </c>
    </row>
    <row r="56" s="1" customFormat="1"/>
  </sheetData>
  <mergeCells count="42">
    <mergeCell ref="A1:H1"/>
    <mergeCell ref="A3:H3"/>
    <mergeCell ref="A12:H12"/>
    <mergeCell ref="A21:H21"/>
    <mergeCell ref="A26:H26"/>
    <mergeCell ref="A37:H37"/>
    <mergeCell ref="A46:H46"/>
    <mergeCell ref="A5:A6"/>
    <mergeCell ref="A14:A18"/>
    <mergeCell ref="A30:A32"/>
    <mergeCell ref="A33:A34"/>
    <mergeCell ref="A39:A41"/>
    <mergeCell ref="A42:A44"/>
    <mergeCell ref="A49:A50"/>
    <mergeCell ref="B5:B6"/>
    <mergeCell ref="B14:B18"/>
    <mergeCell ref="B30:B32"/>
    <mergeCell ref="B33:B34"/>
    <mergeCell ref="B39:B44"/>
    <mergeCell ref="B49:B50"/>
    <mergeCell ref="C5:C6"/>
    <mergeCell ref="C14:C18"/>
    <mergeCell ref="C30:C32"/>
    <mergeCell ref="C33:C34"/>
    <mergeCell ref="C39:C44"/>
    <mergeCell ref="C49:C50"/>
    <mergeCell ref="D5:D6"/>
    <mergeCell ref="D14:D18"/>
    <mergeCell ref="D30:D32"/>
    <mergeCell ref="D33:D34"/>
    <mergeCell ref="D39:D44"/>
    <mergeCell ref="D49:D50"/>
    <mergeCell ref="F5:F6"/>
    <mergeCell ref="F30:F32"/>
    <mergeCell ref="F33:F34"/>
    <mergeCell ref="F39:F41"/>
    <mergeCell ref="F42:F44"/>
    <mergeCell ref="G5:G6"/>
    <mergeCell ref="G30:G32"/>
    <mergeCell ref="G33:G34"/>
    <mergeCell ref="G39:G41"/>
    <mergeCell ref="G42:G44"/>
  </mergeCells>
  <pageMargins left="0.75" right="0.75" top="1" bottom="1" header="0.5" footer="0.5"/>
  <headerFooter/>
  <ignoredErrors>
    <ignoredError sqref="D5:D10 D14:D19 D23:D24 D28:D35 D39 D48:D55" numberStoredAsText="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26-27年预算</vt:lpstr>
      <vt:lpstr>宏观视角与目标</vt:lpstr>
      <vt:lpstr>执行时间线</vt:lpstr>
      <vt:lpstr>降费方案明细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你这个小猪</cp:lastModifiedBy>
  <dcterms:created xsi:type="dcterms:W3CDTF">2026-05-01T05:25:00Z</dcterms:created>
  <dcterms:modified xsi:type="dcterms:W3CDTF">2026-05-11T08:32:28Z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48782691723246D4B18D88DB7E8CF559_13</vt:lpwstr>
  </property>
  <property fmtid="{D5CDD505-2E9C-101B-9397-08002B2CF9AE}" pid="3" name="KSOProductBuildVer">
    <vt:lpwstr>2052-12.1.0.25865</vt:lpwstr>
  </property>
  <property fmtid="{D5CDD505-2E9C-101B-9397-08002B2CF9AE}" pid="4" name="CalculationRule">
    <vt:i4>1</vt:i4>
  </property>
  <property fmtid="{D5CDD505-2E9C-101B-9397-08002B2CF9AE}" pid="5" name="KSOReadingLayout">
    <vt:bool>false</vt:bool>
  </property>
</Properties>
</file>