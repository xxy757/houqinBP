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739" firstSheet="1"/>
  </bookViews>
  <sheets>
    <sheet name="后勤部现状看板分析 " sheetId="25" r:id="rId1"/>
    <sheet name="2026人力资源规划" sheetId="13" r:id="rId2"/>
    <sheet name="人员调整计划" sheetId="12" r:id="rId3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_FilterDatabase" localSheetId="0" hidden="1">'后勤部现状看板分析 '!$A$5:$AB$58</definedName>
    <definedName name="_xlnm._FilterDatabase" localSheetId="1" hidden="1">'2026人力资源规划'!$B$3:$C$18</definedName>
    <definedName name="_xlnm._FilterDatabase" localSheetId="2" hidden="1">人员调整计划!$A$2:$CH$68</definedName>
    <definedName name="\0">'[1]C-1'!$R$2</definedName>
    <definedName name="\t">'[2]ELEC45-01'!#REF!</definedName>
    <definedName name="______tx1999">#REF!</definedName>
    <definedName name="______tx2000">#REF!</definedName>
    <definedName name="_____ar2">#REF!</definedName>
    <definedName name="_____dkk1">#N/A</definedName>
    <definedName name="_____dkk2">#N/A</definedName>
    <definedName name="_____exp10">#N/A</definedName>
    <definedName name="_____exp11">#N/A</definedName>
    <definedName name="_____exp12">#N/A</definedName>
    <definedName name="_____EXP22">#N/A</definedName>
    <definedName name="_____exp5">#N/A</definedName>
    <definedName name="_____exp7">#N/A</definedName>
    <definedName name="_____exp8">#N/A</definedName>
    <definedName name="_____exp9">#N/A</definedName>
    <definedName name="_____lit1">#N/A</definedName>
    <definedName name="_____lit2">#N/A</definedName>
    <definedName name="_____Us1">#N/A</definedName>
    <definedName name="_____Us2">#N/A</definedName>
    <definedName name="_____Uss1">#N/A</definedName>
    <definedName name="_____Uss2">#N/A</definedName>
    <definedName name="____ar2">#REF!</definedName>
    <definedName name="____dkk1">#REF!</definedName>
    <definedName name="____dkk2">#REF!</definedName>
    <definedName name="____exp10">#REF!</definedName>
    <definedName name="____exp11">#REF!</definedName>
    <definedName name="____exp12">#REF!</definedName>
    <definedName name="____EXP22">#REF!</definedName>
    <definedName name="____exp5">#REF!</definedName>
    <definedName name="____exp7">#REF!</definedName>
    <definedName name="____exp8">#REF!</definedName>
    <definedName name="____exp9">#REF!</definedName>
    <definedName name="____lit1">#REF!</definedName>
    <definedName name="____lit2">#REF!</definedName>
    <definedName name="____tx1999">#REF!</definedName>
    <definedName name="____tx2000">#REF!</definedName>
    <definedName name="____Us1">#REF!</definedName>
    <definedName name="____Us2">#REF!</definedName>
    <definedName name="____Uss1">#REF!</definedName>
    <definedName name="____Uss2">#REF!</definedName>
    <definedName name="___kkk1" hidden="1">#REF!</definedName>
    <definedName name="___SCB1">'[3]SCB 1 - Current'!$F$10</definedName>
    <definedName name="___SCB2">'[3]SCB 2 - Current'!$F$11</definedName>
    <definedName name="___tx1999">#REF!</definedName>
    <definedName name="___tx2000">#REF!</definedName>
    <definedName name="__ar2">#REF!</definedName>
    <definedName name="__dkk1">#REF!</definedName>
    <definedName name="__dkk2">#REF!</definedName>
    <definedName name="__exp10">#REF!</definedName>
    <definedName name="__exp11">#REF!</definedName>
    <definedName name="__exp12">#REF!</definedName>
    <definedName name="__EXP22">#REF!</definedName>
    <definedName name="__exp5">#REF!</definedName>
    <definedName name="__exp7">#REF!</definedName>
    <definedName name="__exp8">#REF!</definedName>
    <definedName name="__exp9">#REF!</definedName>
    <definedName name="__kkk1" hidden="1">#REF!</definedName>
    <definedName name="__lit1">#REF!</definedName>
    <definedName name="__lit2">#REF!</definedName>
    <definedName name="__SCB1">'[3]SCB 1 - Current'!$F$10</definedName>
    <definedName name="__SCB2">'[3]SCB 2 - Current'!$F$11</definedName>
    <definedName name="__tx1999">#REF!</definedName>
    <definedName name="__tx2000">#REF!</definedName>
    <definedName name="__Us1">#REF!</definedName>
    <definedName name="__Us2">#REF!</definedName>
    <definedName name="__Uss1">#REF!</definedName>
    <definedName name="__Uss2">#REF!</definedName>
    <definedName name="_ar2">#REF!</definedName>
    <definedName name="_dkk1">#REF!</definedName>
    <definedName name="_dkk2">#REF!</definedName>
    <definedName name="_exp10">#REF!</definedName>
    <definedName name="_exp11">#REF!</definedName>
    <definedName name="_exp12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Fill" hidden="1">'[4]C-1'!$C$81</definedName>
    <definedName name="_Key1" hidden="1">#REF!</definedName>
    <definedName name="_kkk1" hidden="1">#REF!</definedName>
    <definedName name="_lit1">#REF!</definedName>
    <definedName name="_lit2">#REF!</definedName>
    <definedName name="_Order1" hidden="1">255</definedName>
    <definedName name="_SCB1">'[3]SCB 1 - Current'!$F$10</definedName>
    <definedName name="_SCB2">'[3]SCB 2 - Current'!$F$11</definedName>
    <definedName name="_Sort" hidden="1">#REF!</definedName>
    <definedName name="_tx1999">#REF!</definedName>
    <definedName name="_tx2000">#REF!</definedName>
    <definedName name="_Us1">#REF!</definedName>
    <definedName name="_Us2">#REF!</definedName>
    <definedName name="_Uss1">#REF!</definedName>
    <definedName name="_Uss2">#REF!</definedName>
    <definedName name="_WGZY">'[4]C-1'!$T$3</definedName>
    <definedName name="a">#REF!</definedName>
    <definedName name="A018D">#REF!</definedName>
    <definedName name="AA">#REF!</definedName>
    <definedName name="aaa" hidden="1">{"conso",#N/A,FALSE,"cash flow"}</definedName>
    <definedName name="aaaa" hidden="1">[5]BOM!#REF!</definedName>
    <definedName name="aaaaa" hidden="1">[5]BOM!#REF!</definedName>
    <definedName name="aaaaaa">'[6]Trial Balance'!$A:$H</definedName>
    <definedName name="ACC_RESP_SIGN">#REF!,#REF!</definedName>
    <definedName name="ACCTG_RATE_BASE">#REF!</definedName>
    <definedName name="alu_frame_wicker">[7]Blad1!$J$20:$J$25</definedName>
    <definedName name="alu_frame_with_wicker">[7]Blad1!$J$20:$J$25</definedName>
    <definedName name="aluminium">[7]Blad1!$L$1:$L$3</definedName>
    <definedName name="aluminium_and_steel">[7]Blad1!$L$1:$L$3</definedName>
    <definedName name="aluminium_slats1">[7]Blad1!$H$30:$H$43</definedName>
    <definedName name="ana">#REF!</definedName>
    <definedName name="Ana_U_5">[8]ตั๋วเงินรับ!$F$1</definedName>
    <definedName name="anodized">[7]Blad1!$E$39:$E$41</definedName>
    <definedName name="aqaq" hidden="1">{"cashflow",#N/A,FALSE,"cash flow"}</definedName>
    <definedName name="ar">#REF!</definedName>
    <definedName name="ar2_1">#REF!</definedName>
    <definedName name="AS2DocOpenMode" hidden="1">"AS2DocumentEdit"</definedName>
    <definedName name="ASD">#REF!</definedName>
    <definedName name="Asstes">#REF!</definedName>
    <definedName name="axaax" hidden="1">{"cashflow",#N/A,FALSE,"cash flow"}</definedName>
    <definedName name="axaxax" hidden="1">{"conso",#N/A,FALSE,"cash flow"}</definedName>
    <definedName name="BASE_CURR">#REF!</definedName>
    <definedName name="bbbbb">'[9]B131 '!NCode</definedName>
    <definedName name="BBL">'[10]ADJ - RATE'!#REF!</definedName>
    <definedName name="BENCHES_BISTRO_BENCHES">[7]Blad1!$R$1:$R$8</definedName>
    <definedName name="BENCHES_BISTRO_BENCHES2">[7]Blad1!$R$1:$R$12</definedName>
    <definedName name="bend">[5]BOM!#REF!</definedName>
    <definedName name="BLOW4502">'[4]C-1'!$1:$5</definedName>
    <definedName name="bluestone">[7]Blad1!$N$1</definedName>
    <definedName name="BOM">[11]BOM!$A$16:$H$106</definedName>
    <definedName name="BOM单">[12]设计BOM!$A$3:$I$112</definedName>
    <definedName name="bwe">#REF!</definedName>
    <definedName name="cc">#REF!</definedName>
    <definedName name="Cena_EUR">#REF!</definedName>
    <definedName name="CHAIRS_LOUNGEBED_BISTRO">[7]Blad1!$R$1:$R$8</definedName>
    <definedName name="CHAIRS_LOUNGEBED_BISTRO1">[7]Blad1!$R$1:$R$8</definedName>
    <definedName name="CHAIRS_LOUNGEBED_BISTRO2">[7]Blad1!$R$1:$R$12</definedName>
    <definedName name="CNT_RECON_DTL">#REF!</definedName>
    <definedName name="code">#REF!</definedName>
    <definedName name="concrete">[7]Blad1!$C$25:$C$27</definedName>
    <definedName name="cost_per_unit">#REF!</definedName>
    <definedName name="cost_per_unit_1">#REF!</definedName>
    <definedName name="csDesignMode">1</definedName>
    <definedName name="cushion1">[7]Blad1!$E$15:$E$24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D_Purchased_Vehicles">'[13]K-5'!#REF!</definedName>
    <definedName name="Data">'[14]Trial Balance'!$A:$H</definedName>
    <definedName name="data_table">[15]BOM.EXSM!#REF!</definedName>
    <definedName name="data1">#REF!</definedName>
    <definedName name="data2">#REF!</definedName>
    <definedName name="data3">#REF!</definedName>
    <definedName name="data4">#REF!</definedName>
    <definedName name="DATA90">"AutoShape 26"</definedName>
    <definedName name="Database">#REF!</definedName>
    <definedName name="DATE">[16]เงินกู้ธนชาติ!$G$2</definedName>
    <definedName name="Date2">[17]ตั๋วเงินรับ!$F$1</definedName>
    <definedName name="Datee">[16]เงินกู้ธนชาติ!$G$2</definedName>
    <definedName name="dd" hidden="1">{"conso",#N/A,FALSE,"cash flow"}</definedName>
    <definedName name="ddddd">[5]BOM!#REF!</definedName>
    <definedName name="description">#REF!</definedName>
    <definedName name="description_1">#REF!</definedName>
    <definedName name="dfffffff">[5]BOM!#REF!</definedName>
    <definedName name="dflt7">[18]Invoice!#REF!</definedName>
    <definedName name="dflt7_1">[19]Invoice!#REF!</definedName>
    <definedName name="director">'[20]VariableII  period'!$E$146</definedName>
    <definedName name="Display1">'[21]% SATIŞ'!#REF!</definedName>
    <definedName name="DKK">'[22]ADJ - RATE'!$B$4</definedName>
    <definedName name="dkk1_1">#REF!</definedName>
    <definedName name="dkk2_1">#REF!</definedName>
    <definedName name="EDIT_DT">#REF!,#REF!</definedName>
    <definedName name="ee">'[23]เงินกู้ MGC'!$E$17</definedName>
    <definedName name="eqq" hidden="1">{"cashflow",#N/A,FALSE,"cash flow"}</definedName>
    <definedName name="er">#REF!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wew" hidden="1">{"cashflow",#N/A,FALSE,"cash flow"}</definedName>
    <definedName name="Ex_Rate">#REF!</definedName>
    <definedName name="Excel_BuiltIn__FilterDatabase_1">#REF!</definedName>
    <definedName name="Excel_BuiltIn__FilterDatabase_1_1">#REF!</definedName>
    <definedName name="Excel_BuiltIn__FilterDatabase_1_2">#REF!</definedName>
    <definedName name="Excel_BuiltIn__FilterDatabase_1_3">#REF!</definedName>
    <definedName name="Excel_BuiltIn_Database">#REF!</definedName>
    <definedName name="Excel_BuiltIn_Database_1">#REF!</definedName>
    <definedName name="Excel_BuiltIn_Print_Area_2">#REF!</definedName>
    <definedName name="Excel_BuiltIn_Print_Area_2_1">#REF!</definedName>
    <definedName name="Excel_BuiltIn_Print_Area_3_1">#REF!</definedName>
    <definedName name="Excel_BuiltIn_Print_Area_7">#REF!</definedName>
    <definedName name="Excel_BuiltIn_Print_Area_8">#REF!</definedName>
    <definedName name="Excel_BuiltIn_Print_Area_9">#REF!</definedName>
    <definedName name="exp10_1">#REF!</definedName>
    <definedName name="exp11_1">#REF!</definedName>
    <definedName name="exp12_1">#REF!</definedName>
    <definedName name="EXP22_1">#REF!</definedName>
    <definedName name="exp5.1">#REF!</definedName>
    <definedName name="exp5_1">#REF!</definedName>
    <definedName name="exp7_1">#REF!</definedName>
    <definedName name="exp8_1">#REF!</definedName>
    <definedName name="exp9_1">#REF!</definedName>
    <definedName name="expense">#REF!</definedName>
    <definedName name="expp10">#REF!</definedName>
    <definedName name="expp10_1">#REF!</definedName>
    <definedName name="expp12">#REF!</definedName>
    <definedName name="expp12_1">#REF!</definedName>
    <definedName name="EXPP22">#REF!</definedName>
    <definedName name="EXPP22_1">#REF!</definedName>
    <definedName name="expp5">#REF!</definedName>
    <definedName name="expp5_1">#REF!</definedName>
    <definedName name="expp7">#REF!</definedName>
    <definedName name="expp7_1">#REF!</definedName>
    <definedName name="expp8">#REF!</definedName>
    <definedName name="expp8_1">#REF!</definedName>
    <definedName name="expp9">#REF!</definedName>
    <definedName name="expp9_1">#REF!</definedName>
    <definedName name="Extract_FA">#REF!</definedName>
    <definedName name="fabric">[7]Blad1!$R$1:$R$8</definedName>
    <definedName name="FG">[24]เงินกู้ธนชาติ!$E$17</definedName>
    <definedName name="fgg">#REF!</definedName>
    <definedName name="fre">#REF!</definedName>
    <definedName name="free">#REF!</definedName>
    <definedName name="FSC_Acacia1">[7]Blad1!$H$30:$H$41</definedName>
    <definedName name="FSC_Eucalyptus1">[7]Blad1!$H$30:$H$41</definedName>
    <definedName name="FSC_Teak1">[7]Blad1!$H$30:$H$41</definedName>
    <definedName name="furniture_cover2">[7]Blad1!$M$1</definedName>
    <definedName name="G">#REF!</definedName>
    <definedName name="gazebo_paviljon">[7]Blad1!$F$30:$F$34</definedName>
    <definedName name="ghh">#REF!</definedName>
    <definedName name="ghvj">[25]เงินกู้ธนชาติ!$B$4</definedName>
    <definedName name="glass1">[7]Blad1!$L$27:$L$31</definedName>
    <definedName name="granite">[7]Blad1!$C$25:$C$27</definedName>
    <definedName name="GW">#REF!</definedName>
    <definedName name="h">[25]เงินกู้ธนชาติ!$G$2</definedName>
    <definedName name="H56_ECC_LHD">#REF!</definedName>
    <definedName name="H56_ECC_RHD">#REF!</definedName>
    <definedName name="hao">'[26]D002A-10L'!$A$11:$I$112</definedName>
    <definedName name="HDR_2">#REF!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ER_INFO">#REF!</definedName>
    <definedName name="Heading">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h">[25]เงินกู้ธนชาติ!$G$2</definedName>
    <definedName name="hjjkkkl">#REF!</definedName>
    <definedName name="hjjkkkl_1">#REF!</definedName>
    <definedName name="holidays">[27]相关方管理!$A$6:$A$106</definedName>
    <definedName name="HSCB">'[10]ADJ - RATE'!#REF!</definedName>
    <definedName name="ht">#REF!</definedName>
    <definedName name="HTML_CodePage" hidden="1">874</definedName>
    <definedName name="HTML_Control" hidden="1">{"'FLATTA (2)'!$A$1:$AZ$25"}</definedName>
    <definedName name="HTML_Description" hidden="1">""</definedName>
    <definedName name="HTML_Email" hidden="1">""</definedName>
    <definedName name="HTML_Header" hidden="1">"FLATTA (2)"</definedName>
    <definedName name="HTML_LastUpdate" hidden="1">"20/6/2002"</definedName>
    <definedName name="HTML_LineAfter" hidden="1">FALSE</definedName>
    <definedName name="HTML_LineBefore" hidden="1">FALSE</definedName>
    <definedName name="HTML_Name" hidden="1">"Padej Montburinont"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"ESTIMATE TEMPLATE NEW 12-06-02"</definedName>
    <definedName name="huu">#REF!</definedName>
    <definedName name="huu_1">#REF!</definedName>
    <definedName name="ier">#REF!</definedName>
    <definedName name="Initials">#REF!</definedName>
    <definedName name="iuoo">#REF!</definedName>
    <definedName name="iuoo_1">#REF!</definedName>
    <definedName name="J">#REF!</definedName>
    <definedName name="kaa">#REF!</definedName>
    <definedName name="KHJGDFGFHGHJ" hidden="1">{"cashflow",#N/A,FALSE,"cash flow"}</definedName>
    <definedName name="KS_PP2304_0008_A025_0364">[28]KS_PP2304_0008_A025_0364!$A$1:$I$102</definedName>
    <definedName name="list">#REF!</definedName>
    <definedName name="LIT">'[22]ADJ - RATE'!$B$2</definedName>
    <definedName name="lit1_1">#REF!</definedName>
    <definedName name="lit2_1">#REF!</definedName>
    <definedName name="litt1">#REF!</definedName>
    <definedName name="litt1_1">#REF!</definedName>
    <definedName name="litt2">#REF!</definedName>
    <definedName name="litt2_1">#REF!</definedName>
    <definedName name="Loan">[16]เงินกู้ธนชาติ!$B$4</definedName>
    <definedName name="Loan1">'[16]เงินกู้ MGC'!$B$4</definedName>
    <definedName name="Loann">[16]เงินกู้ธนชาติ!$B$4</definedName>
    <definedName name="Loann1">'[16]เงินกู้ MGC'!$B$4</definedName>
    <definedName name="Loannn">[16]เงินกู้ธนชาติ!$B$4</definedName>
    <definedName name="Long">[16]เงินกู้ธนชาติ!$F$15</definedName>
    <definedName name="Long1">'[16]เงินกู้ MGC'!$F$15</definedName>
    <definedName name="LonGG">[16]เงินกู้ธนชาติ!$F$15</definedName>
    <definedName name="Longg1">'[16]เงินกู้ MGC'!$F$15</definedName>
    <definedName name="Longgg">'[16]เงินกู้ MGC'!$F$15</definedName>
    <definedName name="Longggg">[16]เงินกู้ธนชาติ!$F$15</definedName>
    <definedName name="loungesets2">[7]Blad1!$H$47:$H$55</definedName>
    <definedName name="loungesettable">[7]Blad1!$D$15:$D$27</definedName>
    <definedName name="M_m11_color_fail">'[29]공정불량율 현황'!$B$10</definedName>
    <definedName name="M_m11_color_input">'[29]공정불량율 현황'!$B$3</definedName>
    <definedName name="M_m11_color_Pfail">'[29]공정불량율 현황'!$B$17</definedName>
    <definedName name="M_m2_color_fail">'[29]공정불량율 현황'!$B$12</definedName>
    <definedName name="M_m2_color_input">'[29]공정불량율 현황'!$B$5</definedName>
    <definedName name="M_m2_color_Pfail">'[29]공정불량율 현황'!$B$19</definedName>
    <definedName name="M_m2_mono_fail">'[29]공정불량율 현황'!$B$13</definedName>
    <definedName name="M_m2_mono_input">'[29]공정불량율 현황'!$B$6</definedName>
    <definedName name="M_m2_mono_Pfail">'[29]공정불량율 현황'!$B$20</definedName>
    <definedName name="m11_crt_fail">'[29]공정불량율 현황'!$I$3</definedName>
    <definedName name="marble">[7]Blad1!$C$25:$C$27</definedName>
    <definedName name="materialcode">'[30]Material data list'!$D$5:$D$64</definedName>
    <definedName name="materialdata">'[30]Material data list'!$D$5:$G$64</definedName>
    <definedName name="mm">'[31]MAT components'!$B$6:$AH$150</definedName>
    <definedName name="MmExcelLinker_42821290_D8E6_4442_972C_F63ADCE94F49">Forcast&amp;Confirm order Jan '[32]08'!$N$26:$N$26</definedName>
    <definedName name="model">'[33]% SATIŞ'!#REF!</definedName>
    <definedName name="model1">'[33]% SATIŞ'!#REF!</definedName>
    <definedName name="model2">'[33]% SATIŞ'!#REF!</definedName>
    <definedName name="Model3">'[33]% SATIŞ'!#REF!</definedName>
    <definedName name="MR">'[34]Machine rates'!$A$2:$C$25</definedName>
    <definedName name="MRP_Table">'[35]new product'!$AW$11:$AZ$160</definedName>
    <definedName name="n_a">[7]Blad1!$N$1</definedName>
    <definedName name="Names">#REF!</definedName>
    <definedName name="NCode">'[9]B131 '!NCode</definedName>
    <definedName name="nee">#REF!</definedName>
    <definedName name="newb">#REF!</definedName>
    <definedName name="no_2nd_material1">[7]Blad1!$H$30:$H$43</definedName>
    <definedName name="NOW">'[36]TB-2001-Apr''01'!#REF!</definedName>
    <definedName name="nu" hidden="1">{"cashflow",#N/A,FALSE,"cash flow"}</definedName>
    <definedName name="nuc">'[37]TrialBalance Q3-2002'!$A$1:$H$301</definedName>
    <definedName name="nuch">#REF!</definedName>
    <definedName name="oldData">#REF!</definedName>
    <definedName name="oo">#REF!</definedName>
    <definedName name="oo_1">#REF!</definedName>
    <definedName name="OPEN_USR_REC_USD">#REF!</definedName>
    <definedName name="opp">'[35]new product'!$AW$11:$AZ$160</definedName>
    <definedName name="other">[7]Blad1!$N$1</definedName>
    <definedName name="other_">[7]Blad1!$C$31</definedName>
    <definedName name="other_item">[7]Blad1!$D$13:$D$18</definedName>
    <definedName name="other_item2">[7]Blad1!$D$13:$D$23</definedName>
    <definedName name="other2">[7]Blad1!$D$13:$D$23</definedName>
    <definedName name="Owner">#REF!</definedName>
    <definedName name="P_m2_color_fail">'[29]공정불량율 현황'!$B$14</definedName>
    <definedName name="P_m2_color_input">'[29]공정불량율 현황'!$B$7</definedName>
    <definedName name="P_m2_color_Pfail">'[29]공정불량율 현황'!$B$21</definedName>
    <definedName name="P_m2_mono_fail">'[29]공정불량율 현황'!$B$15</definedName>
    <definedName name="P_m2_mono_input">'[29]공정불량율 현황'!$B$8</definedName>
    <definedName name="P_m2_mono_Pfail">'[29]공정불량율 현황'!$B$22</definedName>
    <definedName name="package">[7]Blad1!$C$38:$C$45</definedName>
    <definedName name="partytent">[7]Blad1!$F$30:$F$34</definedName>
    <definedName name="partytent1">[7]Blad1!$U$1:$U$3</definedName>
    <definedName name="PE">[7]Blad1!$T$39:$T$45</definedName>
    <definedName name="PeriodsInYear">#REF!</definedName>
    <definedName name="PF2_2023_988_2001_1">[38]PF2_2023_988_2001_1!$A$1:$I$3</definedName>
    <definedName name="PL_Def_Numeric_List_11_05">#REF!</definedName>
    <definedName name="plastics">[7]Blad1!$W$1:$W$2</definedName>
    <definedName name="plBoardFee">#REF!</definedName>
    <definedName name="plCostOfServices">#REF!</definedName>
    <definedName name="plIncome1">#REF!</definedName>
    <definedName name="plIncome2">#REF!</definedName>
    <definedName name="plInterest">#REF!</definedName>
    <definedName name="PLonAssetSoldII">'[20]VariableII  period'!$E$150</definedName>
    <definedName name="plOtherIncome">#REF!</definedName>
    <definedName name="plPLonAssetSold">#REF!</definedName>
    <definedName name="plPLonFX">#REF!</definedName>
    <definedName name="plSAndA">#REF!</definedName>
    <definedName name="plSharePLfromSubCom">#REF!</definedName>
    <definedName name="PO1_2024_154_0005">'[39]KY-15 A007I'!$A$7:$I$153</definedName>
    <definedName name="PO4_2025_291_0002采购订单序时簿">[40]PO4_2025_291_0002采购订单序时簿!$A$1:$X$155</definedName>
    <definedName name="PO4_2025_291_0003采购订单序时簿">[41]PO4_2025_291_0003采购订单序时簿!$A$1:$X$152</definedName>
    <definedName name="PO4_2025_291_0004采购订单序时簿">[38]PO4_2025_291_0004采购订单序时簿!$A$1:$X$152</definedName>
    <definedName name="PO4_2025_291_0005采购订单序时簿">[42]PO4_2025_291_0005采购订单序时簿!$A$1:$X$153</definedName>
    <definedName name="PO4_2025_291_0007采购订单序时簿">[43]PO4_2025_291_0007采购订单序时簿!$A$1:$X$154</definedName>
    <definedName name="poil">#REF!</definedName>
    <definedName name="poil_1">#REF!</definedName>
    <definedName name="Polyester">[7]Blad1!$T$39:$T$45</definedName>
    <definedName name="polywood_slats1">[7]Blad1!$H$30:$H$43</definedName>
    <definedName name="position_chair">[7]Blad1!$R$1:$R$8</definedName>
    <definedName name="position_chairs">[7]Blad1!$R$1:$R$8</definedName>
    <definedName name="POSITION_CHAIRS2">[7]Blad1!$R$1:$R$12</definedName>
    <definedName name="pp">#REF!</definedName>
    <definedName name="pp_1">#REF!</definedName>
    <definedName name="PR_1">#REF!</definedName>
    <definedName name="PR_2">#REF!</definedName>
    <definedName name="PR_3">#REF!</definedName>
    <definedName name="PR_QTR_BAL">#REF!</definedName>
    <definedName name="PR_REC_DTL1">#REF!,#REF!</definedName>
    <definedName name="PREP_DT_SIGN">#REF!</definedName>
    <definedName name="_xlnm.Print_Area">#REF!</definedName>
    <definedName name="Print_Area_MI">#REF!</definedName>
    <definedName name="Print_Area_MI_1">#REF!</definedName>
    <definedName name="_xlnm.Print_Titles">'[4]C-1'!$1:$5</definedName>
    <definedName name="Print_Titles_MI">'[4]C-1'!$1:$5</definedName>
    <definedName name="product">[7]Blad1!$C$1:$C$8</definedName>
    <definedName name="product1">[7]Blad1!$C$1:$C$8</definedName>
    <definedName name="PVC">[34]PartVerCost!$A$3:$Y$418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aqa" hidden="1">{"conso",#N/A,FALSE,"cash flow"}</definedName>
    <definedName name="qaqas" hidden="1">{"cashflow",#N/A,FALSE,"cash flow"}</definedName>
    <definedName name="qaqasa" hidden="1">{"conso",#N/A,FALSE,"cash flow"}</definedName>
    <definedName name="qaqass" hidden="1">{"conso",#N/A,FALSE,"cash flow"}</definedName>
    <definedName name="qq">#REF!</definedName>
    <definedName name="qqqqq" hidden="1">{"cashflow",#N/A,FALSE,"cash flow"}</definedName>
    <definedName name="qqqqqq" hidden="1">{"cashflow",#N/A,FALSE,"cash flow"}</definedName>
    <definedName name="quitpay">#REF!</definedName>
    <definedName name="qwqwq" hidden="1">{"cashflow",#N/A,FALSE,"cash flow"}</definedName>
    <definedName name="RANKING">[44]RANK!$C$2:$E$10</definedName>
    <definedName name="rate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rer" hidden="1">{"cashflow",#N/A,FALSE,"cash flow"}</definedName>
    <definedName name="rere" hidden="1">{"conso",#N/A,FALSE,"cash flow"}</definedName>
    <definedName name="reval_acc_name">#REF!</definedName>
    <definedName name="RM">'[22]ADJ - RATE'!$B$5</definedName>
    <definedName name="RM_QTY">'[35]new product'!$AZ$11:$AZ$160</definedName>
    <definedName name="rr">#REF!</definedName>
    <definedName name="rrrrrrrrr">#REF!,#REF!,#REF!,#REF!,#REF!,#REF!,#REF!,#REF!,#REF!,#REF!,#REF!,#REF!</definedName>
    <definedName name="rty">[25]เงินกู้ธนชาติ!$G$2</definedName>
    <definedName name="S">#REF!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VE_FLAG">#REF!</definedName>
    <definedName name="SCB">'[10]ADJ - RATE'!#REF!</definedName>
    <definedName name="scoretable">#REF!</definedName>
    <definedName name="sdsd">'[45]Trial Balance'!$A:$H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hear">[5]BOM!#REF!</definedName>
    <definedName name="Short">[16]เงินกู้ธนชาติ!$E$17</definedName>
    <definedName name="short1">'[16]เงินกู้ MGC'!$E$17</definedName>
    <definedName name="Shortt">[16]เงินกู้ธนชาติ!$E$17</definedName>
    <definedName name="shortt1">'[16]เงินกู้ MGC'!$E$17</definedName>
    <definedName name="shorttt">'[16]เงินกู้ MGC'!$E$17</definedName>
    <definedName name="soortproduct">[7]Blad1!$C$1:$C$4</definedName>
    <definedName name="Spec">#REF!</definedName>
    <definedName name="stackable">[7]Blad1!$L$17:$L$19</definedName>
    <definedName name="Stage">#REF!</definedName>
    <definedName name="StartDate">#REF!</definedName>
    <definedName name="StartDate_1">#REF!</definedName>
    <definedName name="startday">[27]dataX!$B$4</definedName>
    <definedName name="Stat">#REF!</definedName>
    <definedName name="Stats">#REF!</definedName>
    <definedName name="Status">#REF!</definedName>
    <definedName name="steel">[7]Blad1!$L$1:$L$3</definedName>
    <definedName name="steel_frame_with_wicker">[7]Blad1!$J$20:$J$25</definedName>
    <definedName name="steel1">[7]Blad1!$L$27:$L$31</definedName>
    <definedName name="stud">[5]BOM!#REF!</definedName>
    <definedName name="SUB_SYS_NAME">#REF!</definedName>
    <definedName name="SUM_LCL_ESC">#REF!</definedName>
    <definedName name="SUM_REC_USD">#REF!</definedName>
    <definedName name="TABLES_BISTRO_TABLES">[7]Blad1!$D$13:$D$18</definedName>
    <definedName name="TABLES_BISTRO_TABLES2">[7]Blad1!$D$15:$D$27</definedName>
    <definedName name="tables2">[7]Blad1!$D$15:$D$27</definedName>
    <definedName name="tauxczk">#REF!</definedName>
    <definedName name="TB">'[46]2002'!$A$2:$H$301</definedName>
    <definedName name="tbData">#REF!</definedName>
    <definedName name="tbIndex">#REF!</definedName>
    <definedName name="tbold">#REF!</definedName>
    <definedName name="Team">#REF!</definedName>
    <definedName name="textilene_with_QDF1">[7]Blad1!$E$27:$E$32</definedName>
    <definedName name="textilene1">[7]Blad1!$E$27:$E$32</definedName>
    <definedName name="To_Print">#REF!</definedName>
    <definedName name="To_Print_1">#REF!</definedName>
    <definedName name="To_Print_by_Date">#REF!</definedName>
    <definedName name="To_Print_by_Date_1">#REF!</definedName>
    <definedName name="To_Print_ห_ามลบ">#REF!</definedName>
    <definedName name="To_Print_ห_ามลบ_1">#REF!</definedName>
    <definedName name="To_Print_ห้ามลบ">#REF!</definedName>
    <definedName name="Tool">'[47]SBS Forecast'!$A$41:$A$47</definedName>
    <definedName name="Tools">'[47]SBS Forecast'!$A$41:$A$45</definedName>
    <definedName name="Track">#REF!</definedName>
    <definedName name="transcost">#REF!</definedName>
    <definedName name="TRAYS2">[7]Blad1!$C$29:$C$32</definedName>
    <definedName name="tribal">#REF!</definedName>
    <definedName name="ttr">#REF!</definedName>
    <definedName name="ttt">#REF!</definedName>
    <definedName name="tx">#REF!</definedName>
    <definedName name="umbrella">[7]Blad1!$F$30:$F$34</definedName>
    <definedName name="umbrella_base">[7]Blad1!$V$1:$V$6</definedName>
    <definedName name="Umbrella_related_items_cover">[7]Blad1!$U$1:$U$3</definedName>
    <definedName name="umbrella_related_items_cover1">[7]Blad1!$M$1</definedName>
    <definedName name="umbrella1">[7]Blad1!$U$1:$U$3</definedName>
    <definedName name="US">'[22]ADJ - RATE'!$B$3</definedName>
    <definedName name="Us1_1">#REF!</definedName>
    <definedName name="Us2_1">#REF!</definedName>
    <definedName name="USD">#REF!</definedName>
    <definedName name="USD_1">#REF!</definedName>
    <definedName name="USDD">#REF!</definedName>
    <definedName name="USDD_1">#REF!</definedName>
    <definedName name="Uss1_1">#REF!</definedName>
    <definedName name="Uss2_1">#REF!</definedName>
    <definedName name="uuuuuuuuuuuuuuuuuu">[5]BOM!#REF!</definedName>
    <definedName name="valuevx">42.314159</definedName>
    <definedName name="verpakking">[7]Blad1!$C$38:$C$45</definedName>
    <definedName name="vertex42_copyright">"© 2006-2020 Vertex42 LLC"</definedName>
    <definedName name="vertex42_id">"gantt-chart_v5-0.xlsx"</definedName>
    <definedName name="vertex42_title">"Gantt Chart Template Pro"</definedName>
    <definedName name="VQ">[34]VerQty!$A$2:$E$22</definedName>
    <definedName name="W1M">#REF!</definedName>
    <definedName name="weekend">[27]相关方管理!$E$10</definedName>
    <definedName name="werert">#REF!</definedName>
    <definedName name="werert_1">#REF!</definedName>
    <definedName name="wicker">[7]Blad1!$J$20:$J$25</definedName>
    <definedName name="wicker_with_cushion1">[7]Blad1!$O$36:$O$63</definedName>
    <definedName name="wicker_with_cushion2">[7]Blad1!$E$15:$E$19</definedName>
    <definedName name="wicker_without_cushion">[7]Blad1!$J$20:$J$25</definedName>
    <definedName name="wicker_without_cushion1">[7]Blad1!$J$20:$J$25</definedName>
    <definedName name="wood">[7]Blad1!$J$1:$J$5</definedName>
    <definedName name="wood1">[7]Blad1!$H$30:$H$43</definedName>
    <definedName name="wqwqw" hidden="1">{"cashflow",#N/A,FALSE,"cash flow"}</definedName>
    <definedName name="wrn.Cashflow." hidden="1">{"cashflow",#N/A,FALSE,"cash flow"}</definedName>
    <definedName name="wrn.conso." hidden="1">{"conso",#N/A,FALSE,"cash flow"}</definedName>
    <definedName name="ww">[48]Blad1!$D$62:$D$65</definedName>
    <definedName name="wwqq" hidden="1">{"cashflow",#N/A,FALSE,"cash flow"}</definedName>
    <definedName name="www.">[49]TB!$A:$H</definedName>
    <definedName name="www..">[49]TB!$A:$A</definedName>
    <definedName name="xaxa" hidden="1">{"cashflow",#N/A,FALSE,"cash flow"}</definedName>
    <definedName name="xaxasa" hidden="1">{"cashflow",#N/A,FALSE,"cash flow"}</definedName>
    <definedName name="xaxax" hidden="1">{"cashflow",#N/A,FALSE,"cash flow"}</definedName>
    <definedName name="xazz" hidden="1">{"cashflow",#N/A,FALSE,"cash flow"}</definedName>
    <definedName name="xx">'[50]Trial Balance'!$A:$H</definedName>
    <definedName name="ytuio">#REF!</definedName>
    <definedName name="ytuio_1">#REF!</definedName>
    <definedName name="zaxa" hidden="1">{"conso",#N/A,FALSE,"cash flow"}</definedName>
    <definedName name="zaza" hidden="1">{"conso",#N/A,FALSE,"cash flow"}</definedName>
    <definedName name="ZSB">#REF!</definedName>
    <definedName name="zz" hidden="1">{"cashflow",#N/A,FALSE,"cash flow"}</definedName>
    <definedName name="เบ__ยประก_นจ_ายล_วงหน_า">#REF!</definedName>
    <definedName name="เบ__ยประก_นจ_ายล_วงหน_า_1">#REF!</definedName>
    <definedName name="เบี้ยประกันจ่ายล่วงหน้า">#REF!</definedName>
    <definedName name="ก">#REF!</definedName>
    <definedName name="ฟ35">#REF!</definedName>
    <definedName name="ฟๅ">#REF!</definedName>
    <definedName name="ภาษ_น_ต_">#REF!</definedName>
    <definedName name="ภาษ_น_ต__1">#REF!</definedName>
    <definedName name="ภาษีนิติ">#REF!</definedName>
    <definedName name="ลูกหนี้" hidden="1">{"conso",#N/A,FALSE,"cash flow"}</definedName>
    <definedName name="ลูกหนี้เงินตรา.." hidden="1">{"conso",#N/A,FALSE,"cash flow"}</definedName>
    <definedName name="ลูกหนี้เงินตรา0509" hidden="1">{"cashflow",#N/A,FALSE,"cash flow"}</definedName>
    <definedName name="采购订单序时簿">[51]采购订单序时簿!$A$1:$AC$196</definedName>
    <definedName name="成本BOM_DIY">[52]成本BOM_DIY!$A$1:$I$112</definedName>
    <definedName name="成本图表超支">OFFSET([27]图表数据源!$AZ$5,0,0,[27]图表数据源!$BE$4)</definedName>
    <definedName name="成本图表负责人">OFFSET([27]图表数据源!$AV$5,0,0,[27]图表数据源!$BE$4)</definedName>
    <definedName name="成本图表节省">OFFSET([27]图表数据源!$BA$5,0,0,[27]图表数据源!$BE$4)</definedName>
    <definedName name="成本图表绿色柱子">OFFSET([27]图表数据源!$AY$5,0,0,[27]图表数据源!$BE$4)</definedName>
    <definedName name="成本图表说明">OFFSET([27]图表数据源!$BC$5,0,0,[27]图表数据源!$BE$4)</definedName>
    <definedName name="成本图表预算">OFFSET([27]图表数据源!$AX$5,0,0,[27]图表数据源!$BE$4)</definedName>
    <definedName name="成本图表最高值">OFFSET([27]图表数据源!$BB$5,0,0,[27]图表数据源!$BE$4)</definedName>
    <definedName name="风险概率后">[27]风险管理!$Q$12:$Q$996</definedName>
    <definedName name="风险概率前">[27]风险管理!$H$12:$H$996</definedName>
    <definedName name="风险影响后">[27]风险管理!$R$12:$R$996</definedName>
    <definedName name="风险影响前">[27]风险管理!$I$12:$I$996</definedName>
    <definedName name="甘特图显示进度">[27]相关方管理!$E$14</definedName>
    <definedName name="滚动增量4">'[53]D013C-20L项目里程碑'!$O$4</definedName>
    <definedName name="间隔天数">'[54]D013C-20L项目里程碑'!$R$4</definedName>
    <definedName name="今日时间线">[27]相关方管理!$E$15</definedName>
    <definedName name="明细分类账">[55]明细分类账!$A$1:$C$1</definedName>
    <definedName name="切片器_客户">#N/A</definedName>
    <definedName name="切片器_区组">#N/A</definedName>
    <definedName name="切片器_月">#N/A</definedName>
    <definedName name="任务完成准时率">OFFSET([27]图表数据源!$II$8:$IJ$8,0,0,[27]图表数据源!$IR$8)</definedName>
    <definedName name="生产领料序时簿">#REF!</definedName>
    <definedName name="生产投料单序时簿">#REF!</definedName>
    <definedName name="时间线_工作日">OFFSET([27]项目时间线!$G$7,0,0,[27]项目时间线!$M$7)</definedName>
    <definedName name="时间线_结束时间">OFFSET([27]项目时间线!$F$7,0,0,[27]项目时间线!$M$7)</definedName>
    <definedName name="时间线_进度条">OFFSET([27]项目时间线!$I$7,0,0,[27]项目时间线!$M$7)</definedName>
    <definedName name="时间线_开始时间">OFFSET([27]项目时间线!$E$7,0,0,[27]项目时间线!$M$7)</definedName>
    <definedName name="时间线_任务">OFFSET([27]项目时间线!$C$7,0,0,[27]项目时间线!$M$7)</definedName>
    <definedName name="时间线_数据条高度">OFFSET([27]项目时间线!$K$7,0,0,[27]项目时间线!$M$7)</definedName>
    <definedName name="顺德">#REF!</definedName>
    <definedName name="_xlnm.Extract">'[33]% SATIŞ'!#REF!</definedName>
    <definedName name="完成准时率_负责人">OFFSET([27]图表数据源!$II$8,0,0,[27]图表数据源!$IR$8)</definedName>
    <definedName name="完成准时率_准时率">OFFSET([27]图表数据源!$IJ$8,0,0,[27]图表数据源!$IR$8)</definedName>
    <definedName name="项目开始日期4">'[54]D013C-20L项目里程碑'!$O$3</definedName>
    <definedName name="销售出库序时簿">#REF!</definedName>
    <definedName name="销售订单序时簿">[56]销售订单序时簿!$A$1:$P$47</definedName>
    <definedName name="新">#REF!</definedName>
    <definedName name="预警高亮天数">[27]相关方管理!$E$13</definedName>
    <definedName name="总分类账">'[38]总分类账-01'!$A$1:$H$244</definedName>
    <definedName name="_Fill" localSheetId="1" hidden="1">'[4]C-1'!$C$81</definedName>
    <definedName name="_WGZY" localSheetId="1">'[4]C-1'!$T$3</definedName>
    <definedName name="aaaa" localSheetId="1" hidden="1">[5]BOM!#REF!</definedName>
    <definedName name="aaaaa" localSheetId="1" hidden="1">[5]BOM!#REF!</definedName>
    <definedName name="bbbbb" localSheetId="1">'[9]B131 '!NCode</definedName>
    <definedName name="bend" localSheetId="1">[5]BOM!#REF!</definedName>
    <definedName name="BLOW4502" localSheetId="1">'[4]C-1'!$1:$5</definedName>
    <definedName name="ddddd" localSheetId="1">[5]BOM!#REF!</definedName>
    <definedName name="dfffffff" localSheetId="1">[5]BOM!#REF!</definedName>
    <definedName name="dflt7" localSheetId="1">[18]Invoice!#REF!</definedName>
    <definedName name="MmExcelLinker_42821290_D8E6_4442_972C_F63ADCE94F49" localSheetId="1">Forcast&amp;Confirm order Jan '[32]08'!$N$26:$N$26</definedName>
    <definedName name="NCode" localSheetId="1">'[9]B131 '!NCode</definedName>
    <definedName name="_xlnm.Print_Titles" localSheetId="1">'[4]C-1'!$1:$5</definedName>
    <definedName name="Print_Titles_MI" localSheetId="1">'[4]C-1'!$1:$5</definedName>
    <definedName name="shear" localSheetId="1">[5]BOM!#REF!</definedName>
    <definedName name="stud" localSheetId="1">[5]BOM!#REF!</definedName>
    <definedName name="uuuuuuuuuuuuuuuuuu" localSheetId="1">[5]BOM!#REF!</definedName>
    <definedName name="______tx1999" localSheetId="0">#REF!</definedName>
    <definedName name="______tx2000" localSheetId="0">#REF!</definedName>
    <definedName name="_____ar2" localSheetId="0">#REF!</definedName>
    <definedName name="____ar2" localSheetId="0">#REF!</definedName>
    <definedName name="____dkk1" localSheetId="0">#REF!</definedName>
    <definedName name="____dkk2" localSheetId="0">#REF!</definedName>
    <definedName name="____exp10" localSheetId="0">#REF!</definedName>
    <definedName name="____exp11" localSheetId="0">#REF!</definedName>
    <definedName name="____exp12" localSheetId="0">#REF!</definedName>
    <definedName name="____EXP22" localSheetId="0">#REF!</definedName>
    <definedName name="____exp5" localSheetId="0">#REF!</definedName>
    <definedName name="____exp7" localSheetId="0">#REF!</definedName>
    <definedName name="____exp8" localSheetId="0">#REF!</definedName>
    <definedName name="____exp9" localSheetId="0">#REF!</definedName>
    <definedName name="____lit1" localSheetId="0">#REF!</definedName>
    <definedName name="____lit2" localSheetId="0">#REF!</definedName>
    <definedName name="____tx1999" localSheetId="0">#REF!</definedName>
    <definedName name="____tx2000" localSheetId="0">#REF!</definedName>
    <definedName name="____Us1" localSheetId="0">#REF!</definedName>
    <definedName name="____Us2" localSheetId="0">#REF!</definedName>
    <definedName name="____Uss1" localSheetId="0">#REF!</definedName>
    <definedName name="____Uss2" localSheetId="0">#REF!</definedName>
    <definedName name="___kkk1" localSheetId="0" hidden="1">#REF!</definedName>
    <definedName name="___tx1999" localSheetId="0">#REF!</definedName>
    <definedName name="___tx2000" localSheetId="0">#REF!</definedName>
    <definedName name="__ar2" localSheetId="0">#REF!</definedName>
    <definedName name="__dkk1" localSheetId="0">#REF!</definedName>
    <definedName name="__dkk2" localSheetId="0">#REF!</definedName>
    <definedName name="__exp10" localSheetId="0">#REF!</definedName>
    <definedName name="__exp11" localSheetId="0">#REF!</definedName>
    <definedName name="__exp12" localSheetId="0">#REF!</definedName>
    <definedName name="__EXP22" localSheetId="0">#REF!</definedName>
    <definedName name="__exp5" localSheetId="0">#REF!</definedName>
    <definedName name="__exp7" localSheetId="0">#REF!</definedName>
    <definedName name="__exp8" localSheetId="0">#REF!</definedName>
    <definedName name="__exp9" localSheetId="0">#REF!</definedName>
    <definedName name="__kkk1" localSheetId="0" hidden="1">#REF!</definedName>
    <definedName name="__lit1" localSheetId="0">#REF!</definedName>
    <definedName name="__lit2" localSheetId="0">#REF!</definedName>
    <definedName name="__tx1999" localSheetId="0">#REF!</definedName>
    <definedName name="__tx2000" localSheetId="0">#REF!</definedName>
    <definedName name="__Us1" localSheetId="0">#REF!</definedName>
    <definedName name="__Us2" localSheetId="0">#REF!</definedName>
    <definedName name="__Uss1" localSheetId="0">#REF!</definedName>
    <definedName name="__Uss2" localSheetId="0">#REF!</definedName>
    <definedName name="_ar2" localSheetId="0">#REF!</definedName>
    <definedName name="_dkk1" localSheetId="0">#REF!</definedName>
    <definedName name="_dkk2" localSheetId="0">#REF!</definedName>
    <definedName name="_exp10" localSheetId="0">#REF!</definedName>
    <definedName name="_exp11" localSheetId="0">#REF!</definedName>
    <definedName name="_exp12" localSheetId="0">#REF!</definedName>
    <definedName name="_EXP22" localSheetId="0">#REF!</definedName>
    <definedName name="_exp5" localSheetId="0">#REF!</definedName>
    <definedName name="_exp7" localSheetId="0">#REF!</definedName>
    <definedName name="_exp8" localSheetId="0">#REF!</definedName>
    <definedName name="_exp9" localSheetId="0">#REF!</definedName>
    <definedName name="_Fill" localSheetId="0" hidden="1">'[4]C-1'!$C$81</definedName>
    <definedName name="_Key1" localSheetId="0" hidden="1">#REF!</definedName>
    <definedName name="_kkk1" localSheetId="0" hidden="1">#REF!</definedName>
    <definedName name="_lit1" localSheetId="0">#REF!</definedName>
    <definedName name="_lit2" localSheetId="0">#REF!</definedName>
    <definedName name="_Sort" localSheetId="0" hidden="1">#REF!</definedName>
    <definedName name="_tx1999" localSheetId="0">#REF!</definedName>
    <definedName name="_tx2000" localSheetId="0">#REF!</definedName>
    <definedName name="_Us1" localSheetId="0">#REF!</definedName>
    <definedName name="_Us2" localSheetId="0">#REF!</definedName>
    <definedName name="_Uss1" localSheetId="0">#REF!</definedName>
    <definedName name="_Uss2" localSheetId="0">#REF!</definedName>
    <definedName name="_WGZY" localSheetId="0">'[4]C-1'!$T$3</definedName>
    <definedName name="a" localSheetId="0">#REF!</definedName>
    <definedName name="A018D" localSheetId="0">#REF!</definedName>
    <definedName name="AA" localSheetId="0">#REF!</definedName>
    <definedName name="aaaa" localSheetId="0" hidden="1">[5]BOM!#REF!</definedName>
    <definedName name="aaaaa" localSheetId="0" hidden="1">[5]BOM!#REF!</definedName>
    <definedName name="ACC_RESP_SIGN" localSheetId="0">#REF!,#REF!</definedName>
    <definedName name="ACCTG_RATE_BASE" localSheetId="0">#REF!</definedName>
    <definedName name="ana" localSheetId="0">#REF!</definedName>
    <definedName name="ar" localSheetId="0">#REF!</definedName>
    <definedName name="ar2_1" localSheetId="0">#REF!</definedName>
    <definedName name="ASD" localSheetId="0">#REF!</definedName>
    <definedName name="Asstes" localSheetId="0">#REF!</definedName>
    <definedName name="BASE_CURR" localSheetId="0">#REF!</definedName>
    <definedName name="bend" localSheetId="0">[5]BOM!#REF!</definedName>
    <definedName name="BLOW4502" localSheetId="0">'[4]C-1'!$1:$5</definedName>
    <definedName name="bwe" localSheetId="0">#REF!</definedName>
    <definedName name="cc" localSheetId="0">#REF!</definedName>
    <definedName name="Cena_EUR" localSheetId="0">#REF!</definedName>
    <definedName name="CNT_RECON_DTL" localSheetId="0">#REF!</definedName>
    <definedName name="code" localSheetId="0">#REF!</definedName>
    <definedName name="cost_per_unit" localSheetId="0">#REF!</definedName>
    <definedName name="cost_per_unit_1" localSheetId="0">#REF!</definedName>
    <definedName name="CY_Accounts_Receivable" localSheetId="0">#REF!</definedName>
    <definedName name="CY_Cash" localSheetId="0">#REF!</definedName>
    <definedName name="CY_Common_Equity" localSheetId="0">#REF!</definedName>
    <definedName name="CY_Cost_of_Sales" localSheetId="0">#REF!</definedName>
    <definedName name="CY_Current_Liabilities" localSheetId="0">#REF!</definedName>
    <definedName name="CY_Depreciation" localSheetId="0">#REF!</definedName>
    <definedName name="CY_Gross_Profit" localSheetId="0">#REF!</definedName>
    <definedName name="CY_Inc_Bef_Tax" localSheetId="0">#REF!</definedName>
    <definedName name="CY_Intangible_Assets" localSheetId="0">#REF!</definedName>
    <definedName name="CY_Interest_Expense" localSheetId="0">#REF!</definedName>
    <definedName name="CY_Inventory" localSheetId="0">#REF!</definedName>
    <definedName name="CY_LIABIL_EQUITY" localSheetId="0">#REF!</definedName>
    <definedName name="CY_LT_Debt" localSheetId="0">#REF!</definedName>
    <definedName name="CY_Market_Value_of_Equity" localSheetId="0">#REF!</definedName>
    <definedName name="CY_Marketable_Sec" localSheetId="0">#REF!</definedName>
    <definedName name="CY_NET_PROFIT" localSheetId="0">#REF!</definedName>
    <definedName name="CY_Net_Revenue" localSheetId="0">#REF!</definedName>
    <definedName name="CY_Operating_Income" localSheetId="0">#REF!</definedName>
    <definedName name="CY_Other_Curr_Assets" localSheetId="0">#REF!</definedName>
    <definedName name="CY_Other_LT_Assets" localSheetId="0">#REF!</definedName>
    <definedName name="CY_Other_LT_Liabilities" localSheetId="0">#REF!</definedName>
    <definedName name="CY_Preferred_Stock" localSheetId="0">#REF!</definedName>
    <definedName name="CY_QUICK_ASSETS" localSheetId="0">#REF!</definedName>
    <definedName name="CY_Retained_Earnings" localSheetId="0">#REF!</definedName>
    <definedName name="CY_Tangible_Assets" localSheetId="0">#REF!</definedName>
    <definedName name="CY_Tangible_Net_Worth" localSheetId="0">#REF!</definedName>
    <definedName name="CY_Taxes" localSheetId="0">#REF!</definedName>
    <definedName name="CY_TOTAL_ASSETS" localSheetId="0">#REF!</definedName>
    <definedName name="CY_TOTAL_CURR_ASSETS" localSheetId="0">#REF!</definedName>
    <definedName name="CY_TOTAL_DEBT" localSheetId="0">#REF!</definedName>
    <definedName name="CY_TOTAL_EQUITY" localSheetId="0">#REF!</definedName>
    <definedName name="CY_Working_Capital" localSheetId="0">#REF!</definedName>
    <definedName name="data1" localSheetId="0">#REF!</definedName>
    <definedName name="data2" localSheetId="0">#REF!</definedName>
    <definedName name="data3" localSheetId="0">#REF!</definedName>
    <definedName name="data4" localSheetId="0">#REF!</definedName>
    <definedName name="Database" localSheetId="0">#REF!</definedName>
    <definedName name="ddddd" localSheetId="0">[5]BOM!#REF!</definedName>
    <definedName name="description" localSheetId="0">#REF!</definedName>
    <definedName name="description_1" localSheetId="0">#REF!</definedName>
    <definedName name="dfffffff" localSheetId="0">[5]BOM!#REF!</definedName>
    <definedName name="dkk1_1" localSheetId="0">#REF!</definedName>
    <definedName name="dkk2_1" localSheetId="0">#REF!</definedName>
    <definedName name="EDIT_DT" localSheetId="0">#REF!,#REF!</definedName>
    <definedName name="er" localSheetId="0">#REF!</definedName>
    <definedName name="ESC_BKREF" localSheetId="0">#REF!</definedName>
    <definedName name="ESC_DESC" localSheetId="0">#REF!</definedName>
    <definedName name="ESC_DT" localSheetId="0">#REF!</definedName>
    <definedName name="ESC_EXP_DT" localSheetId="0">#REF!</definedName>
    <definedName name="ESC_OWNER" localSheetId="0">#REF!</definedName>
    <definedName name="ESC_PLAN" localSheetId="0">#REF!</definedName>
    <definedName name="ESC_SECII_ALL" localSheetId="0">#REF!</definedName>
    <definedName name="ESC_USD_100" localSheetId="0">#REF!</definedName>
    <definedName name="ESC_USD_30" localSheetId="0">#REF!</definedName>
    <definedName name="ESC_USD_60" localSheetId="0">#REF!</definedName>
    <definedName name="ESC_USD_90" localSheetId="0">#REF!</definedName>
    <definedName name="ESC_USER_ALL" localSheetId="0">#REF!</definedName>
    <definedName name="ESC_USR_BK_DT" localSheetId="0">#REF!</definedName>
    <definedName name="ESC_USR_BKREF" localSheetId="0">#REF!</definedName>
    <definedName name="esc_usr_cnt" localSheetId="0">#REF!</definedName>
    <definedName name="esc_usr_count" localSheetId="0">#REF!</definedName>
    <definedName name="ESC_USR_DESC" localSheetId="0">#REF!</definedName>
    <definedName name="ESC_USR_EXP_DT" localSheetId="0">#REF!</definedName>
    <definedName name="ESC_USR_LCL" localSheetId="0">#REF!</definedName>
    <definedName name="ESC_USR_OWN" localSheetId="0">#REF!</definedName>
    <definedName name="ESC_USR_PLAN" localSheetId="0">#REF!</definedName>
    <definedName name="ESC_USR_USD" localSheetId="0">#REF!</definedName>
    <definedName name="Ex_Rate" localSheetId="0">#REF!</definedName>
    <definedName name="Excel_BuiltIn__FilterDatabase_1" localSheetId="0">#REF!</definedName>
    <definedName name="Excel_BuiltIn__FilterDatabase_1_1" localSheetId="0">#REF!</definedName>
    <definedName name="Excel_BuiltIn__FilterDatabase_1_2" localSheetId="0">#REF!</definedName>
    <definedName name="Excel_BuiltIn__FilterDatabase_1_3" localSheetId="0">#REF!</definedName>
    <definedName name="Excel_BuiltIn_Database" localSheetId="0">#REF!</definedName>
    <definedName name="Excel_BuiltIn_Database_1" localSheetId="0">#REF!</definedName>
    <definedName name="Excel_BuiltIn_Print_Area_2" localSheetId="0">#REF!</definedName>
    <definedName name="Excel_BuiltIn_Print_Area_2_1" localSheetId="0">#REF!</definedName>
    <definedName name="Excel_BuiltIn_Print_Area_3_1" localSheetId="0">#REF!</definedName>
    <definedName name="Excel_BuiltIn_Print_Area_7" localSheetId="0">#REF!</definedName>
    <definedName name="Excel_BuiltIn_Print_Area_8" localSheetId="0">#REF!</definedName>
    <definedName name="Excel_BuiltIn_Print_Area_9" localSheetId="0">#REF!</definedName>
    <definedName name="exp10_1" localSheetId="0">#REF!</definedName>
    <definedName name="exp11_1" localSheetId="0">#REF!</definedName>
    <definedName name="exp12_1" localSheetId="0">#REF!</definedName>
    <definedName name="EXP22_1" localSheetId="0">#REF!</definedName>
    <definedName name="exp5.1" localSheetId="0">#REF!</definedName>
    <definedName name="exp5_1" localSheetId="0">#REF!</definedName>
    <definedName name="exp7_1" localSheetId="0">#REF!</definedName>
    <definedName name="exp8_1" localSheetId="0">#REF!</definedName>
    <definedName name="exp9_1" localSheetId="0">#REF!</definedName>
    <definedName name="expense" localSheetId="0">#REF!</definedName>
    <definedName name="expp10" localSheetId="0">#REF!</definedName>
    <definedName name="expp10_1" localSheetId="0">#REF!</definedName>
    <definedName name="expp12" localSheetId="0">#REF!</definedName>
    <definedName name="expp12_1" localSheetId="0">#REF!</definedName>
    <definedName name="EXPP22" localSheetId="0">#REF!</definedName>
    <definedName name="EXPP22_1" localSheetId="0">#REF!</definedName>
    <definedName name="expp5" localSheetId="0">#REF!</definedName>
    <definedName name="expp5_1" localSheetId="0">#REF!</definedName>
    <definedName name="expp7" localSheetId="0">#REF!</definedName>
    <definedName name="expp7_1" localSheetId="0">#REF!</definedName>
    <definedName name="expp8" localSheetId="0">#REF!</definedName>
    <definedName name="expp8_1" localSheetId="0">#REF!</definedName>
    <definedName name="expp9" localSheetId="0">#REF!</definedName>
    <definedName name="expp9_1" localSheetId="0">#REF!</definedName>
    <definedName name="Extract_FA" localSheetId="0">#REF!</definedName>
    <definedName name="fgg" localSheetId="0">#REF!</definedName>
    <definedName name="fre" localSheetId="0">#REF!</definedName>
    <definedName name="free" localSheetId="0">#REF!</definedName>
    <definedName name="G" localSheetId="0">#REF!</definedName>
    <definedName name="ghh" localSheetId="0">#REF!</definedName>
    <definedName name="GW" localSheetId="0">#REF!</definedName>
    <definedName name="H56_ECC_LHD" localSheetId="0">#REF!</definedName>
    <definedName name="H56_ECC_RHD" localSheetId="0">#REF!</definedName>
    <definedName name="HDR_2" localSheetId="0">#REF!</definedName>
    <definedName name="HEADDAYA3" localSheetId="0">#REF!,#REF!,#REF!,#REF!,#REF!,#REF!,#REF!,#REF!,#REF!,#REF!,#REF!,#REF!,#REF!</definedName>
    <definedName name="HEADDAYA4" localSheetId="0">#REF!,#REF!,#REF!,#REF!,#REF!,#REF!,#REF!,#REF!,#REF!,#REF!,#REF!,#REF!,#REF!,#REF!,#REF!,#REF!,#REF!</definedName>
    <definedName name="HEADER_INFO" localSheetId="0">#REF!</definedName>
    <definedName name="Heading" localSheetId="0">#REF!</definedName>
    <definedName name="HEADWEEKA3" localSheetId="0">#REF!,#REF!,#REF!,#REF!,#REF!,#REF!,#REF!,#REF!,#REF!,#REF!,#REF!,#REF!</definedName>
    <definedName name="HEADWEEKA4" localSheetId="0">#REF!,#REF!,#REF!,#REF!,#REF!,#REF!,#REF!,#REF!,#REF!,#REF!,#REF!,#REF!</definedName>
    <definedName name="hjjkkkl" localSheetId="0">#REF!</definedName>
    <definedName name="hjjkkkl_1" localSheetId="0">#REF!</definedName>
    <definedName name="ht" localSheetId="0">#REF!</definedName>
    <definedName name="huu" localSheetId="0">#REF!</definedName>
    <definedName name="huu_1" localSheetId="0">#REF!</definedName>
    <definedName name="ier" localSheetId="0">#REF!</definedName>
    <definedName name="Initials" localSheetId="0">#REF!</definedName>
    <definedName name="iuoo" localSheetId="0">#REF!</definedName>
    <definedName name="iuoo_1" localSheetId="0">#REF!</definedName>
    <definedName name="J" localSheetId="0">#REF!</definedName>
    <definedName name="kaa" localSheetId="0">#REF!</definedName>
    <definedName name="list" localSheetId="0">#REF!</definedName>
    <definedName name="lit1_1" localSheetId="0">#REF!</definedName>
    <definedName name="lit2_1" localSheetId="0">#REF!</definedName>
    <definedName name="litt1" localSheetId="0">#REF!</definedName>
    <definedName name="litt1_1" localSheetId="0">#REF!</definedName>
    <definedName name="litt2" localSheetId="0">#REF!</definedName>
    <definedName name="litt2_1" localSheetId="0">#REF!</definedName>
    <definedName name="Names" localSheetId="0">#REF!</definedName>
    <definedName name="nee" localSheetId="0">#REF!</definedName>
    <definedName name="newb" localSheetId="0">#REF!</definedName>
    <definedName name="nuch" localSheetId="0">#REF!</definedName>
    <definedName name="oldData" localSheetId="0">#REF!</definedName>
    <definedName name="oo" localSheetId="0">#REF!</definedName>
    <definedName name="oo_1" localSheetId="0">#REF!</definedName>
    <definedName name="OPEN_USR_REC_USD" localSheetId="0">#REF!</definedName>
    <definedName name="Owner" localSheetId="0">#REF!</definedName>
    <definedName name="PeriodsInYear" localSheetId="0">#REF!</definedName>
    <definedName name="PL_Def_Numeric_List_11_05" localSheetId="0">#REF!</definedName>
    <definedName name="plBoardFee" localSheetId="0">#REF!</definedName>
    <definedName name="plCostOfServices" localSheetId="0">#REF!</definedName>
    <definedName name="plIncome1" localSheetId="0">#REF!</definedName>
    <definedName name="plIncome2" localSheetId="0">#REF!</definedName>
    <definedName name="plInterest" localSheetId="0">#REF!</definedName>
    <definedName name="plOtherIncome" localSheetId="0">#REF!</definedName>
    <definedName name="plPLonAssetSold" localSheetId="0">#REF!</definedName>
    <definedName name="plPLonFX" localSheetId="0">#REF!</definedName>
    <definedName name="plSAndA" localSheetId="0">#REF!</definedName>
    <definedName name="plSharePLfromSubCom" localSheetId="0">#REF!</definedName>
    <definedName name="poil" localSheetId="0">#REF!</definedName>
    <definedName name="poil_1" localSheetId="0">#REF!</definedName>
    <definedName name="pp" localSheetId="0">#REF!</definedName>
    <definedName name="pp_1" localSheetId="0">#REF!</definedName>
    <definedName name="PR_1" localSheetId="0">#REF!</definedName>
    <definedName name="PR_2" localSheetId="0">#REF!</definedName>
    <definedName name="PR_3" localSheetId="0">#REF!</definedName>
    <definedName name="PR_QTR_BAL" localSheetId="0">#REF!</definedName>
    <definedName name="PR_REC_DTL1" localSheetId="0">#REF!,#REF!</definedName>
    <definedName name="PREP_DT_SIGN" localSheetId="0">#REF!</definedName>
    <definedName name="_xlnm.Print_Area" localSheetId="0">#REF!</definedName>
    <definedName name="Print_Area_MI" localSheetId="0">#REF!</definedName>
    <definedName name="Print_Area_MI_1" localSheetId="0">#REF!</definedName>
    <definedName name="_xlnm.Print_Titles" localSheetId="0">'[4]C-1'!$1:$5</definedName>
    <definedName name="Print_Titles_MI" localSheetId="0">'[4]C-1'!$1:$5</definedName>
    <definedName name="PY_Accounts_Receivable" localSheetId="0">#REF!</definedName>
    <definedName name="PY_Cash" localSheetId="0">#REF!</definedName>
    <definedName name="PY_Common_Equity" localSheetId="0">#REF!</definedName>
    <definedName name="PY_Cost_of_Sales" localSheetId="0">#REF!</definedName>
    <definedName name="PY_Current_Liabilities" localSheetId="0">#REF!</definedName>
    <definedName name="PY_Depreciation" localSheetId="0">#REF!</definedName>
    <definedName name="PY_Gross_Profit" localSheetId="0">#REF!</definedName>
    <definedName name="PY_Inc_Bef_Tax" localSheetId="0">#REF!</definedName>
    <definedName name="PY_Intangible_Assets" localSheetId="0">#REF!</definedName>
    <definedName name="PY_Interest_Expense" localSheetId="0">#REF!</definedName>
    <definedName name="PY_Inventory" localSheetId="0">#REF!</definedName>
    <definedName name="PY_LIABIL_EQUITY" localSheetId="0">#REF!</definedName>
    <definedName name="PY_LT_Debt" localSheetId="0">#REF!</definedName>
    <definedName name="PY_Market_Value_of_Equity" localSheetId="0">#REF!</definedName>
    <definedName name="PY_Marketable_Sec" localSheetId="0">#REF!</definedName>
    <definedName name="PY_NET_PROFIT" localSheetId="0">#REF!</definedName>
    <definedName name="PY_Net_Revenue" localSheetId="0">#REF!</definedName>
    <definedName name="PY_Operating_Inc" localSheetId="0">#REF!</definedName>
    <definedName name="PY_Operating_Income" localSheetId="0">#REF!</definedName>
    <definedName name="PY_Other_Curr_Assets" localSheetId="0">#REF!</definedName>
    <definedName name="PY_Other_LT_Assets" localSheetId="0">#REF!</definedName>
    <definedName name="PY_Other_LT_Liabilities" localSheetId="0">#REF!</definedName>
    <definedName name="PY_Preferred_Stock" localSheetId="0">#REF!</definedName>
    <definedName name="PY_QUICK_ASSETS" localSheetId="0">#REF!</definedName>
    <definedName name="PY_Retained_Earnings" localSheetId="0">#REF!</definedName>
    <definedName name="PY_Tangible_Assets" localSheetId="0">#REF!</definedName>
    <definedName name="PY_Tangible_Net_Worth" localSheetId="0">#REF!</definedName>
    <definedName name="PY_Taxes" localSheetId="0">#REF!</definedName>
    <definedName name="PY_TOTAL_ASSETS" localSheetId="0">#REF!</definedName>
    <definedName name="PY_TOTAL_CURR_ASSETS" localSheetId="0">#REF!</definedName>
    <definedName name="PY_TOTAL_DEBT" localSheetId="0">#REF!</definedName>
    <definedName name="PY_TOTAL_EQUITY" localSheetId="0">#REF!</definedName>
    <definedName name="PY_Working_Capital" localSheetId="0">#REF!</definedName>
    <definedName name="PY2_Accounts_Receivable" localSheetId="0">#REF!</definedName>
    <definedName name="PY2_Cash" localSheetId="0">#REF!</definedName>
    <definedName name="PY2_Common_Equity" localSheetId="0">#REF!</definedName>
    <definedName name="PY2_Cost_of_Sales" localSheetId="0">#REF!</definedName>
    <definedName name="PY2_Current_Liabilities" localSheetId="0">#REF!</definedName>
    <definedName name="PY2_Depreciation" localSheetId="0">#REF!</definedName>
    <definedName name="PY2_Gross_Profit" localSheetId="0">#REF!</definedName>
    <definedName name="PY2_Inc_Bef_Tax" localSheetId="0">#REF!</definedName>
    <definedName name="PY2_Intangible_Assets" localSheetId="0">#REF!</definedName>
    <definedName name="PY2_Interest_Expense" localSheetId="0">#REF!</definedName>
    <definedName name="PY2_Inventory" localSheetId="0">#REF!</definedName>
    <definedName name="PY2_LIABIL_EQUITY" localSheetId="0">#REF!</definedName>
    <definedName name="PY2_LT_Debt" localSheetId="0">#REF!</definedName>
    <definedName name="PY2_Marketable_Sec" localSheetId="0">#REF!</definedName>
    <definedName name="PY2_NET_PROFIT" localSheetId="0">#REF!</definedName>
    <definedName name="PY2_Net_Revenue" localSheetId="0">#REF!</definedName>
    <definedName name="PY2_Operating_Inc" localSheetId="0">#REF!</definedName>
    <definedName name="PY2_Operating_Income" localSheetId="0">#REF!</definedName>
    <definedName name="PY2_Other_Curr_Assets" localSheetId="0">#REF!</definedName>
    <definedName name="PY2_Other_LT_Assets" localSheetId="0">#REF!</definedName>
    <definedName name="PY2_Other_LT_Liabilities" localSheetId="0">#REF!</definedName>
    <definedName name="PY2_Preferred_Stock" localSheetId="0">#REF!</definedName>
    <definedName name="PY2_QUICK_ASSETS" localSheetId="0">#REF!</definedName>
    <definedName name="PY2_Retained_Earnings" localSheetId="0">#REF!</definedName>
    <definedName name="PY2_Tangible_Assets" localSheetId="0">#REF!</definedName>
    <definedName name="PY2_Tangible_Net_Worth" localSheetId="0">#REF!</definedName>
    <definedName name="PY2_Taxes" localSheetId="0">#REF!</definedName>
    <definedName name="PY2_TOTAL_ASSETS" localSheetId="0">#REF!</definedName>
    <definedName name="PY2_TOTAL_CURR_ASSETS" localSheetId="0">#REF!</definedName>
    <definedName name="PY2_TOTAL_DEBT" localSheetId="0">#REF!</definedName>
    <definedName name="PY2_TOTAL_EQUITY" localSheetId="0">#REF!</definedName>
    <definedName name="PY2_Working_Capital" localSheetId="0">#REF!</definedName>
    <definedName name="qq" localSheetId="0">#REF!</definedName>
    <definedName name="quitpay" localSheetId="0">#REF!</definedName>
    <definedName name="rate" localSheetId="0">#REF!</definedName>
    <definedName name="ratio" localSheetId="0">IF(#REF!&lt;=5,INDEX(#REF!,(#REF!*5)-4),#REF!)</definedName>
    <definedName name="ratio1" localSheetId="0">IF(#REF!&lt;=5,INDEX(#REF!,(#REF!*5)-4),#REF!)</definedName>
    <definedName name="ratio2" localSheetId="0">IF(#REF!&lt;=5,INDEX(#REF!,(#REF!*5)-4),#REF!)</definedName>
    <definedName name="ratio3" localSheetId="0">IF(#REF!&lt;=5,INDEX(#REF!,(#REF!*5)-4),#REF!)</definedName>
    <definedName name="rec_esc_cnt" localSheetId="0">#REF!</definedName>
    <definedName name="rec_esc_count" localSheetId="0">#REF!</definedName>
    <definedName name="REC_ESC_LCL" localSheetId="0">#REF!</definedName>
    <definedName name="REC_ESC_LCL_TOT" localSheetId="0">#REF!</definedName>
    <definedName name="REC_ESC_USD" localSheetId="0">#REF!</definedName>
    <definedName name="REC_ESC_USD_TOT" localSheetId="0">#REF!</definedName>
    <definedName name="RECON_AGE" localSheetId="0">#REF!</definedName>
    <definedName name="RECON_AS_ON_DT" localSheetId="0">#REF!</definedName>
    <definedName name="RECON_BK" localSheetId="0">#REF!</definedName>
    <definedName name="RECON_DT" localSheetId="0">#REF!</definedName>
    <definedName name="RECON_DTL" localSheetId="0">#REF!</definedName>
    <definedName name="RECON_ESC" localSheetId="0">#REF!</definedName>
    <definedName name="RECON_ESC_AGE_CALC" localSheetId="0">#REF!</definedName>
    <definedName name="RECON_ESC_FIRST_DT" localSheetId="0">#REF!</definedName>
    <definedName name="RECON_ESC_PLAN" localSheetId="0">#REF!</definedName>
    <definedName name="RECON_ESC_TOT" localSheetId="0">#REF!</definedName>
    <definedName name="RECON_LC" localSheetId="0">#REF!</definedName>
    <definedName name="RECON_LCL_TOTAL" localSheetId="0">#REF!</definedName>
    <definedName name="RECON_OWNER" localSheetId="0">#REF!</definedName>
    <definedName name="RECON_USD" localSheetId="0">#REF!</definedName>
    <definedName name="RECON_USD_TOTAL" localSheetId="0">#REF!</definedName>
    <definedName name="reval_acc_name" localSheetId="0">#REF!</definedName>
    <definedName name="rr" localSheetId="0">#REF!</definedName>
    <definedName name="rrrrrrrrr" localSheetId="0">#REF!,#REF!,#REF!,#REF!,#REF!,#REF!,#REF!,#REF!,#REF!,#REF!,#REF!,#REF!</definedName>
    <definedName name="S" localSheetId="0">#REF!</definedName>
    <definedName name="SAVE_FLAG" localSheetId="0">#REF!</definedName>
    <definedName name="scoretable" localSheetId="0">#REF!</definedName>
    <definedName name="SEC_IV" localSheetId="0">#REF!</definedName>
    <definedName name="SECI_ALL" localSheetId="0">#REF!</definedName>
    <definedName name="SECI_GL_ALL" localSheetId="0">#REF!</definedName>
    <definedName name="SECI_GL_NAME" localSheetId="0">#REF!</definedName>
    <definedName name="SECI_GL_USD" localSheetId="0">#REF!</definedName>
    <definedName name="SECI_LCL" localSheetId="0">#REF!</definedName>
    <definedName name="SECI_LCL_TOT" localSheetId="0">#REF!</definedName>
    <definedName name="SECI_LCL_USD" localSheetId="0">#REF!</definedName>
    <definedName name="SECI_NON_EDIT" localSheetId="0">#REF!</definedName>
    <definedName name="SECI_RATE" localSheetId="0">#REF!</definedName>
    <definedName name="SECI_USD" localSheetId="0">#REF!</definedName>
    <definedName name="SECI_USD_TOT" localSheetId="0">#REF!</definedName>
    <definedName name="SECIII_ITEM_TOT" localSheetId="0">#REF!</definedName>
    <definedName name="SECIII_LCL_TOT" localSheetId="0">#REF!</definedName>
    <definedName name="SECIII_USD_TOT" localSheetId="0">#REF!</definedName>
    <definedName name="shear" localSheetId="0">[5]BOM!#REF!</definedName>
    <definedName name="Spec" localSheetId="0">#REF!</definedName>
    <definedName name="Stage" localSheetId="0">#REF!</definedName>
    <definedName name="StartDate" localSheetId="0">#REF!</definedName>
    <definedName name="StartDate_1" localSheetId="0">#REF!</definedName>
    <definedName name="Stat" localSheetId="0">#REF!</definedName>
    <definedName name="Stats" localSheetId="0">#REF!</definedName>
    <definedName name="Status" localSheetId="0">#REF!</definedName>
    <definedName name="stud" localSheetId="0">[5]BOM!#REF!</definedName>
    <definedName name="SUB_SYS_NAME" localSheetId="0">#REF!</definedName>
    <definedName name="SUM_LCL_ESC" localSheetId="0">#REF!</definedName>
    <definedName name="SUM_REC_USD" localSheetId="0">#REF!</definedName>
    <definedName name="tauxczk" localSheetId="0">#REF!</definedName>
    <definedName name="tbData" localSheetId="0">#REF!</definedName>
    <definedName name="tbIndex" localSheetId="0">#REF!</definedName>
    <definedName name="tbold" localSheetId="0">#REF!</definedName>
    <definedName name="Team" localSheetId="0">#REF!</definedName>
    <definedName name="To_Print" localSheetId="0">#REF!</definedName>
    <definedName name="To_Print_1" localSheetId="0">#REF!</definedName>
    <definedName name="To_Print_by_Date" localSheetId="0">#REF!</definedName>
    <definedName name="To_Print_by_Date_1" localSheetId="0">#REF!</definedName>
    <definedName name="To_Print_ห_ามลบ" localSheetId="0">#REF!</definedName>
    <definedName name="To_Print_ห_ามลบ_1" localSheetId="0">#REF!</definedName>
    <definedName name="To_Print_ห้ามลบ" localSheetId="0">#REF!</definedName>
    <definedName name="Track" localSheetId="0">#REF!</definedName>
    <definedName name="transcost" localSheetId="0">#REF!</definedName>
    <definedName name="tribal" localSheetId="0">#REF!</definedName>
    <definedName name="ttr" localSheetId="0">#REF!</definedName>
    <definedName name="ttt" localSheetId="0">#REF!</definedName>
    <definedName name="tx" localSheetId="0">#REF!</definedName>
    <definedName name="Us1_1" localSheetId="0">#REF!</definedName>
    <definedName name="Us2_1" localSheetId="0">#REF!</definedName>
    <definedName name="USD" localSheetId="0">#REF!</definedName>
    <definedName name="USD_1" localSheetId="0">#REF!</definedName>
    <definedName name="USDD" localSheetId="0">#REF!</definedName>
    <definedName name="USDD_1" localSheetId="0">#REF!</definedName>
    <definedName name="Uss1_1" localSheetId="0">#REF!</definedName>
    <definedName name="Uss2_1" localSheetId="0">#REF!</definedName>
    <definedName name="uuuuuuuuuuuuuuuuuu" localSheetId="0">[5]BOM!#REF!</definedName>
    <definedName name="W1M" localSheetId="0">#REF!</definedName>
    <definedName name="werert" localSheetId="0">#REF!</definedName>
    <definedName name="werert_1" localSheetId="0">#REF!</definedName>
    <definedName name="ytuio" localSheetId="0">#REF!</definedName>
    <definedName name="ytuio_1" localSheetId="0">#REF!</definedName>
    <definedName name="ZSB" localSheetId="0">#REF!</definedName>
    <definedName name="เบ__ยประก_นจ_ายล_วงหน_า" localSheetId="0">#REF!</definedName>
    <definedName name="เบ__ยประก_นจ_ายล_วงหน_า_1" localSheetId="0">#REF!</definedName>
    <definedName name="เบี้ยประกันจ่ายล่วงหน้า" localSheetId="0">#REF!</definedName>
    <definedName name="ก" localSheetId="0">#REF!</definedName>
    <definedName name="ฟ35" localSheetId="0">#REF!</definedName>
    <definedName name="ฟๅ" localSheetId="0">#REF!</definedName>
    <definedName name="ภาษ_น_ต_" localSheetId="0">#REF!</definedName>
    <definedName name="ภาษ_น_ต__1" localSheetId="0">#REF!</definedName>
    <definedName name="ภาษีนิติ" localSheetId="0">#REF!</definedName>
    <definedName name="生产领料序时簿" localSheetId="0">#REF!</definedName>
    <definedName name="生产投料单序时簿" localSheetId="0">#REF!</definedName>
    <definedName name="顺德" localSheetId="0">#REF!</definedName>
    <definedName name="销售出库序时簿" localSheetId="0">#REF!</definedName>
    <definedName name="新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<sst xmlns="http://schemas.openxmlformats.org/spreadsheetml/2006/main" count="3177" uniqueCount="696">
  <si>
    <t>后勤部-架构及分析</t>
  </si>
  <si>
    <t>序号</t>
  </si>
  <si>
    <t>姓名</t>
  </si>
  <si>
    <t>职务</t>
  </si>
  <si>
    <t>部门名称</t>
  </si>
  <si>
    <t>家乡</t>
  </si>
  <si>
    <t>学校</t>
  </si>
  <si>
    <t>专业</t>
  </si>
  <si>
    <t>学历</t>
  </si>
  <si>
    <t>学历类别</t>
  </si>
  <si>
    <t>院校类别</t>
  </si>
  <si>
    <t>性别</t>
  </si>
  <si>
    <t>年龄</t>
  </si>
  <si>
    <t>司龄/年</t>
  </si>
  <si>
    <t>司龄/月</t>
  </si>
  <si>
    <t>岗位级别</t>
  </si>
  <si>
    <t>岗位性质</t>
  </si>
  <si>
    <t>到职日期</t>
  </si>
  <si>
    <t>出生日期</t>
  </si>
  <si>
    <t>备注</t>
  </si>
  <si>
    <t>李兵</t>
  </si>
  <si>
    <t>部长</t>
  </si>
  <si>
    <t>后勤部</t>
  </si>
  <si>
    <t>山西运城</t>
  </si>
  <si>
    <t>龙居中学</t>
  </si>
  <si>
    <t>/</t>
  </si>
  <si>
    <t>高中</t>
  </si>
  <si>
    <t>男</t>
  </si>
  <si>
    <t>管理岗</t>
  </si>
  <si>
    <t>曾嘉惠</t>
  </si>
  <si>
    <t>文控</t>
  </si>
  <si>
    <t>广东江门</t>
  </si>
  <si>
    <t>广东环境保护工程职业学院</t>
  </si>
  <si>
    <t>园林工程技术</t>
  </si>
  <si>
    <t>大专</t>
  </si>
  <si>
    <t>专科</t>
  </si>
  <si>
    <t>公办</t>
  </si>
  <si>
    <t>女</t>
  </si>
  <si>
    <t>职能人员</t>
  </si>
  <si>
    <t>行政岗</t>
  </si>
  <si>
    <t>沈云杰</t>
  </si>
  <si>
    <t>副主管</t>
  </si>
  <si>
    <t>安保处</t>
  </si>
  <si>
    <t>江苏泰州</t>
  </si>
  <si>
    <t>江苏农牧科技职业学院</t>
  </si>
  <si>
    <t>物流管理</t>
  </si>
  <si>
    <t>后勤岗</t>
  </si>
  <si>
    <t>刘家华</t>
  </si>
  <si>
    <t>车辆停泊监察专员</t>
  </si>
  <si>
    <t>广东韶关</t>
  </si>
  <si>
    <t>南雄中学</t>
  </si>
  <si>
    <t>黄健波</t>
  </si>
  <si>
    <t>保安</t>
  </si>
  <si>
    <t>江门市高级技工学校</t>
  </si>
  <si>
    <t>钳工数控</t>
  </si>
  <si>
    <t>中专</t>
  </si>
  <si>
    <t>陶瑞麟</t>
  </si>
  <si>
    <t>湖北谷城</t>
  </si>
  <si>
    <t>谷城县第三高级中学</t>
  </si>
  <si>
    <t>唐银龙</t>
  </si>
  <si>
    <t>四川宜宾</t>
  </si>
  <si>
    <t>江门技师学院</t>
  </si>
  <si>
    <t>营销与服装</t>
  </si>
  <si>
    <t>贺一文</t>
  </si>
  <si>
    <t>湖南湘潭</t>
  </si>
  <si>
    <t>湘潭县一职</t>
  </si>
  <si>
    <t>计算机</t>
  </si>
  <si>
    <t>李俊岗</t>
  </si>
  <si>
    <t>云南省红河哈尼
族彝族自治州弥勒市</t>
  </si>
  <si>
    <t>弥勒市第二中学</t>
  </si>
  <si>
    <t>罗伟</t>
  </si>
  <si>
    <t>贵州德江</t>
  </si>
  <si>
    <t>江门市技师学院</t>
  </si>
  <si>
    <t>烹饪（中式烹调）</t>
  </si>
  <si>
    <t>邝凌鹏</t>
  </si>
  <si>
    <t>广东乐昌</t>
  </si>
  <si>
    <t>韶关市振华中等职业学校</t>
  </si>
  <si>
    <t>汽车运用与维修</t>
  </si>
  <si>
    <t>职季魁</t>
  </si>
  <si>
    <t>河南新乡</t>
  </si>
  <si>
    <t>获嘉县高级中学</t>
  </si>
  <si>
    <t>伍康福</t>
  </si>
  <si>
    <t>广西北流</t>
  </si>
  <si>
    <t>江门市工贸职业技术学校</t>
  </si>
  <si>
    <t>汽修运用与维修</t>
  </si>
  <si>
    <t>戴琛</t>
  </si>
  <si>
    <t>广东湛江</t>
  </si>
  <si>
    <t>广东南方职业学院</t>
  </si>
  <si>
    <t>计算机应用</t>
  </si>
  <si>
    <t>民办</t>
  </si>
  <si>
    <t>王晨光</t>
  </si>
  <si>
    <t>河南省商丘市</t>
  </si>
  <si>
    <t>拓城二中</t>
  </si>
  <si>
    <t>赵雅茵</t>
  </si>
  <si>
    <t>主管</t>
  </si>
  <si>
    <t>专项事务监察处</t>
  </si>
  <si>
    <t>会计</t>
  </si>
  <si>
    <t>黄志伟</t>
  </si>
  <si>
    <t>代副主管</t>
  </si>
  <si>
    <t>广东揭阳</t>
  </si>
  <si>
    <t>江门职业技术学院</t>
  </si>
  <si>
    <t>机械设计与制造</t>
  </si>
  <si>
    <t>刁德华</t>
  </si>
  <si>
    <t>食宿监察组组长</t>
  </si>
  <si>
    <t>广西武宣县</t>
  </si>
  <si>
    <t>国家开放大学</t>
  </si>
  <si>
    <t>广告</t>
  </si>
  <si>
    <t>公办成人高校</t>
  </si>
  <si>
    <t>组长</t>
  </si>
  <si>
    <t>张苑桦</t>
  </si>
  <si>
    <t>宿舍监察专员</t>
  </si>
  <si>
    <t>五邑大学</t>
  </si>
  <si>
    <t>汉语言文学</t>
  </si>
  <si>
    <t>本科</t>
  </si>
  <si>
    <t>二本</t>
  </si>
  <si>
    <t>区颖芝</t>
  </si>
  <si>
    <t>食堂监察专员</t>
  </si>
  <si>
    <t>南京信息工程大学滨江学院</t>
  </si>
  <si>
    <t>物联网工程</t>
  </si>
  <si>
    <t>蔡国喜</t>
  </si>
  <si>
    <t>保洁组组长</t>
  </si>
  <si>
    <t>贵州省铜仁市</t>
  </si>
  <si>
    <t>江苏海事职业技术学院</t>
  </si>
  <si>
    <t>国际邮轮乘务管理</t>
  </si>
  <si>
    <t>林秀兰</t>
  </si>
  <si>
    <t>保洁</t>
  </si>
  <si>
    <t>广东省江门市</t>
  </si>
  <si>
    <t>礼乐中学</t>
  </si>
  <si>
    <t>初中</t>
  </si>
  <si>
    <t>梁世杰</t>
  </si>
  <si>
    <t>广东省罗定市</t>
  </si>
  <si>
    <t>太平中学</t>
  </si>
  <si>
    <t>陈玉珍</t>
  </si>
  <si>
    <t>广东省德庆县</t>
  </si>
  <si>
    <t>九市中学</t>
  </si>
  <si>
    <t>胡翠敏</t>
  </si>
  <si>
    <t>王时英</t>
  </si>
  <si>
    <t>平路庙乡中学</t>
  </si>
  <si>
    <t>伍金凤</t>
  </si>
  <si>
    <t>红卫中学</t>
  </si>
  <si>
    <t>冯秀萍</t>
  </si>
  <si>
    <t>综合物料库</t>
  </si>
  <si>
    <t>新会成人中专</t>
  </si>
  <si>
    <t>林美凤</t>
  </si>
  <si>
    <t>物管专员</t>
  </si>
  <si>
    <t>广西靖西市</t>
  </si>
  <si>
    <t>靖西一中</t>
  </si>
  <si>
    <t>李小斌</t>
  </si>
  <si>
    <t>永济市城西中学</t>
  </si>
  <si>
    <t>朱家和</t>
  </si>
  <si>
    <t>账务专员</t>
  </si>
  <si>
    <t>广东财贸职业学院</t>
  </si>
  <si>
    <t>会计信息管理</t>
  </si>
  <si>
    <t>梁美珍</t>
  </si>
  <si>
    <t>行政事务处</t>
  </si>
  <si>
    <t>广东新会</t>
  </si>
  <si>
    <t>珠海城市职业技术学院</t>
  </si>
  <si>
    <t>会展策划与管理</t>
  </si>
  <si>
    <t>李彐苗</t>
  </si>
  <si>
    <t>安徽</t>
  </si>
  <si>
    <t>滁州卫生学校</t>
  </si>
  <si>
    <t>何绣敏</t>
  </si>
  <si>
    <t>接待专员</t>
  </si>
  <si>
    <t>广州理工学院</t>
  </si>
  <si>
    <t>英语</t>
  </si>
  <si>
    <t>卢玉婵</t>
  </si>
  <si>
    <t>文控专员</t>
  </si>
  <si>
    <t>岭南师范学院</t>
  </si>
  <si>
    <t>历史学</t>
  </si>
  <si>
    <t>董海飞</t>
  </si>
  <si>
    <t>司机</t>
  </si>
  <si>
    <t>贵港市港北区港区中学</t>
  </si>
  <si>
    <t>严嘉辉</t>
  </si>
  <si>
    <t>江门电大</t>
  </si>
  <si>
    <t>工商管理</t>
  </si>
  <si>
    <t>黄家浩</t>
  </si>
  <si>
    <t>广东南华工商职业学院</t>
  </si>
  <si>
    <t>建筑装饰工程技术</t>
  </si>
  <si>
    <t>陈盛添</t>
  </si>
  <si>
    <t>外海中学</t>
  </si>
  <si>
    <t>马军伟</t>
  </si>
  <si>
    <t>梁晓茵</t>
  </si>
  <si>
    <t>行政专员</t>
  </si>
  <si>
    <t>广州新华学院</t>
  </si>
  <si>
    <t>公共关系学</t>
  </si>
  <si>
    <t>李茵仪</t>
  </si>
  <si>
    <t>废料事务专员</t>
  </si>
  <si>
    <t>环境工程</t>
  </si>
  <si>
    <t>陈加辉</t>
  </si>
  <si>
    <t>代主管</t>
  </si>
  <si>
    <t>综合项目管理处</t>
  </si>
  <si>
    <t>中国石油大学（华东）</t>
  </si>
  <si>
    <t>工程管理</t>
  </si>
  <si>
    <t>邝润锡</t>
  </si>
  <si>
    <t>江门市蓬江区棠镇天河中学</t>
  </si>
  <si>
    <t>沈召壹</t>
  </si>
  <si>
    <t>工程监察专员</t>
  </si>
  <si>
    <t>河口中学</t>
  </si>
  <si>
    <t>技术岗</t>
  </si>
  <si>
    <t>陈耀明</t>
  </si>
  <si>
    <t>安全员</t>
  </si>
  <si>
    <t>广州现代信息工程职业技术学院</t>
  </si>
  <si>
    <t>工业机器人</t>
  </si>
  <si>
    <t>谢梓健</t>
  </si>
  <si>
    <t>电工</t>
  </si>
  <si>
    <t>广州大学市政技术学院</t>
  </si>
  <si>
    <t>建筑智能化建筑技术</t>
  </si>
  <si>
    <t>黄彬章</t>
  </si>
  <si>
    <t>江门职业技术学院附属中等职业技术学校</t>
  </si>
  <si>
    <t>机电一体化</t>
  </si>
  <si>
    <t>姚丰收</t>
  </si>
  <si>
    <t>空调维修师</t>
  </si>
  <si>
    <t>山西省运城市康杰中学</t>
  </si>
  <si>
    <t>区宣忠</t>
  </si>
  <si>
    <t>IT组组长</t>
  </si>
  <si>
    <t>广东南洋理工学院</t>
  </si>
  <si>
    <t>屈浩旻</t>
  </si>
  <si>
    <t>IT工程师</t>
  </si>
  <si>
    <t>深圳科技大学</t>
  </si>
  <si>
    <t>一本</t>
  </si>
  <si>
    <t>薛星宇</t>
  </si>
  <si>
    <t>海南医科大学</t>
  </si>
  <si>
    <t>信息管理与信息系统</t>
  </si>
  <si>
    <t>牛佳明</t>
  </si>
  <si>
    <t>中北大学</t>
  </si>
  <si>
    <t>软件工程</t>
  </si>
  <si>
    <t>后勤部部门架构现状分析</t>
  </si>
  <si>
    <t>学历水平分析</t>
  </si>
  <si>
    <t>年龄层结构分析</t>
  </si>
  <si>
    <t>本科（985）</t>
  </si>
  <si>
    <t>20-25岁</t>
  </si>
  <si>
    <t>本科（211）</t>
  </si>
  <si>
    <t>26-30岁</t>
  </si>
  <si>
    <t>本科（一本）</t>
  </si>
  <si>
    <t>31-35岁</t>
  </si>
  <si>
    <t>本科（二本）</t>
  </si>
  <si>
    <t>36-40岁</t>
  </si>
  <si>
    <t>40岁以上</t>
  </si>
  <si>
    <t>其他</t>
  </si>
  <si>
    <t>合计</t>
  </si>
  <si>
    <t>司龄分析</t>
  </si>
  <si>
    <t>男女比例分析</t>
  </si>
  <si>
    <t>平均年龄（岁）</t>
  </si>
  <si>
    <t>最高年龄（岁）</t>
  </si>
  <si>
    <t>平均司龄（年）</t>
  </si>
  <si>
    <t>总计</t>
  </si>
  <si>
    <t>最高司龄（年）</t>
  </si>
  <si>
    <t>2026年人力资源规划</t>
  </si>
  <si>
    <t>部门</t>
  </si>
  <si>
    <t>评价指标</t>
  </si>
  <si>
    <t>2026年目标
（举例）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</si>
  <si>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</si>
  <si>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</si>
  <si>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</si>
  <si>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</si>
  <si>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</si>
  <si>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</si>
  <si>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</si>
  <si>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</si>
  <si>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</si>
  <si>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</si>
  <si>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</si>
  <si>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</si>
  <si>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实际</t>
  </si>
  <si>
    <t>计划</t>
  </si>
  <si>
    <t>编制</t>
  </si>
  <si>
    <t>在编</t>
  </si>
  <si>
    <t>优化</t>
  </si>
  <si>
    <t>调岗</t>
  </si>
  <si>
    <t>新增</t>
  </si>
  <si>
    <t>知识化</t>
  </si>
  <si>
    <t>本科以上占比（不含安保、保洁、司机、电工）</t>
  </si>
  <si>
    <t>大专及以上占比（安保、保洁、司机、电工）</t>
  </si>
  <si>
    <t>年轻化</t>
  </si>
  <si>
    <t>30岁以下占比</t>
  </si>
  <si>
    <t>男女比例</t>
  </si>
  <si>
    <t>男性占比</t>
  </si>
  <si>
    <t>岗位匹配</t>
  </si>
  <si>
    <t>本专业占比</t>
  </si>
  <si>
    <t>六边形</t>
  </si>
  <si>
    <t>财务BP-人数</t>
  </si>
  <si>
    <t>法务BP-人数</t>
  </si>
  <si>
    <t>HR BP-人数</t>
  </si>
  <si>
    <t>理工 BP-人数</t>
  </si>
  <si>
    <t>数字化 BP-人数</t>
  </si>
  <si>
    <t>英语 BP-人数</t>
  </si>
  <si>
    <t>后勤部人力资源调整计划</t>
  </si>
  <si>
    <t>编号</t>
  </si>
  <si>
    <t>处级名称</t>
  </si>
  <si>
    <t>部门号码</t>
  </si>
  <si>
    <t>合并后部门</t>
  </si>
  <si>
    <t>调整后部门</t>
  </si>
  <si>
    <t>状态</t>
  </si>
  <si>
    <t>离职日期</t>
  </si>
  <si>
    <t>申请离职日期</t>
  </si>
  <si>
    <t>临工种类标志</t>
  </si>
  <si>
    <t>政治面貌</t>
  </si>
  <si>
    <t>没入职操作日期</t>
  </si>
  <si>
    <t>离职操作日期</t>
  </si>
  <si>
    <t>联系电话</t>
  </si>
  <si>
    <t>户口所在地</t>
  </si>
  <si>
    <t>日历方案</t>
  </si>
  <si>
    <t>身份证号码</t>
  </si>
  <si>
    <t>婚姻状态</t>
  </si>
  <si>
    <t>地址</t>
  </si>
  <si>
    <t>毕业学校</t>
  </si>
  <si>
    <t>学校等级</t>
  </si>
  <si>
    <t>专业岗匹配</t>
  </si>
  <si>
    <t>六边形BP</t>
  </si>
  <si>
    <t>身份证有效期</t>
  </si>
  <si>
    <t>生日</t>
  </si>
  <si>
    <t>农历生日</t>
  </si>
  <si>
    <t>民族</t>
  </si>
  <si>
    <t>离职原因</t>
  </si>
  <si>
    <t>异动岗位</t>
  </si>
  <si>
    <t>合同开始日</t>
  </si>
  <si>
    <t>合同到期日</t>
  </si>
  <si>
    <t>薪资帐套</t>
  </si>
  <si>
    <t>人员性质</t>
  </si>
  <si>
    <t>籍贯地区</t>
  </si>
  <si>
    <t>入职年份</t>
  </si>
  <si>
    <t>试用期</t>
  </si>
  <si>
    <t>转正日期</t>
  </si>
  <si>
    <t>工龄</t>
  </si>
  <si>
    <t>个人履历</t>
  </si>
  <si>
    <t>过往病史</t>
  </si>
  <si>
    <t>有无违法犯罪记录</t>
  </si>
  <si>
    <t>卡号</t>
  </si>
  <si>
    <t>中介</t>
  </si>
  <si>
    <t>职等</t>
  </si>
  <si>
    <t>级别</t>
  </si>
  <si>
    <t>照片</t>
  </si>
  <si>
    <t>籍贯</t>
  </si>
  <si>
    <t>是否加入b帐</t>
  </si>
  <si>
    <t>是否购买社保</t>
  </si>
  <si>
    <t>开始购买社保日期</t>
  </si>
  <si>
    <t>结束购买社保日期</t>
  </si>
  <si>
    <t>22735</t>
  </si>
  <si>
    <t>001017</t>
  </si>
  <si>
    <t>在职</t>
  </si>
  <si>
    <t>2025年10月转回宝士；2024年7月入江西天骏江门分公司；2024年5月调其他外聘；2022年12月转工程项目部</t>
  </si>
  <si>
    <t>群众</t>
  </si>
  <si>
    <t>18022979628</t>
  </si>
  <si>
    <t>山西省运城市盐湖区龙居镇下张耿村一组</t>
  </si>
  <si>
    <t>142701198807162136</t>
  </si>
  <si>
    <t>已婚</t>
  </si>
  <si>
    <t>广东省江门市江海区碧桂园江海碧桂园芷兰湾6街4栋3106</t>
  </si>
  <si>
    <t>汉</t>
  </si>
  <si>
    <t>直接</t>
  </si>
  <si>
    <t>2021</t>
  </si>
  <si>
    <t>3</t>
  </si>
  <si>
    <t>26872</t>
  </si>
  <si>
    <t>13286133727</t>
  </si>
  <si>
    <t>广东省江门市江海区礼乐武东东和里101号</t>
  </si>
  <si>
    <t>440702200008231524</t>
  </si>
  <si>
    <t>未婚</t>
  </si>
  <si>
    <t>间接</t>
  </si>
  <si>
    <t>月薪（没有伙食津贴）</t>
  </si>
  <si>
    <t>2022</t>
  </si>
  <si>
    <t>36926</t>
  </si>
  <si>
    <t>13126272001</t>
  </si>
  <si>
    <t>江苏省兴化市张郭镇南桥村南西惠民路西1巷14号</t>
  </si>
  <si>
    <t>321281199409247953</t>
  </si>
  <si>
    <t>广东省江门市江海区碧桂园</t>
  </si>
  <si>
    <t>2025</t>
  </si>
  <si>
    <t>25030</t>
  </si>
  <si>
    <t>2025.9.10由行政部异动至后勤部</t>
  </si>
  <si>
    <t>15089846868</t>
  </si>
  <si>
    <t>广东省南雄市百顺镇百顺村委会老屋村27号</t>
  </si>
  <si>
    <t>440223198302102015</t>
  </si>
  <si>
    <t>江门市江海区麻园麻二高地里四巷四号</t>
  </si>
  <si>
    <t>广东南雄</t>
  </si>
  <si>
    <t>28945</t>
  </si>
  <si>
    <t>13106955988</t>
  </si>
  <si>
    <t>广东省江门市蓬江区水南凤阳里98号702</t>
  </si>
  <si>
    <t>440711198903074218</t>
  </si>
  <si>
    <t>29185</t>
  </si>
  <si>
    <t>2025年9月15日由行政部异动至后勤部；2025年8月人员调整通知：保安队长调整为保安</t>
  </si>
  <si>
    <t>共青团员</t>
  </si>
  <si>
    <t>17520140524</t>
  </si>
  <si>
    <t>湖北省谷城县城关镇粉阳路98号</t>
  </si>
  <si>
    <t>420625199405240053</t>
  </si>
  <si>
    <t>广东省江门市蓬江区白沙街道丰盛里604</t>
  </si>
  <si>
    <t>湖北谷城县</t>
  </si>
  <si>
    <t>34849</t>
  </si>
  <si>
    <t>15875093787</t>
  </si>
  <si>
    <t>四川省宜宾县喜捷镇新民村严湾组375号</t>
  </si>
  <si>
    <t>511521199708080431</t>
  </si>
  <si>
    <t>广东省江门市江海区外海街道石塘新村3栋之3 301</t>
  </si>
  <si>
    <t>2024</t>
  </si>
  <si>
    <t>35339</t>
  </si>
  <si>
    <t>13135019550</t>
  </si>
  <si>
    <t>湖南省湘潭县谭家山镇红星村泉塘组</t>
  </si>
  <si>
    <t>430321199409240034</t>
  </si>
  <si>
    <t>广东省江门市江海区外海街道中东村黄字里16巷8号101</t>
  </si>
  <si>
    <t>36409</t>
  </si>
  <si>
    <t>17722951101</t>
  </si>
  <si>
    <t>云南省红河哈尼族彝族自治州弥勒市巡检司镇宣武村委会宣武寨村70号</t>
  </si>
  <si>
    <t>532526199904201719</t>
  </si>
  <si>
    <t>广东省江门市高新区江海嘉美公寓C幢403</t>
  </si>
  <si>
    <t>云南弥勒</t>
  </si>
  <si>
    <t>36651</t>
  </si>
  <si>
    <t>17520315652</t>
  </si>
  <si>
    <t>贵州省德江县长堡镇灯塔村小坳组</t>
  </si>
  <si>
    <t>522227200310255617</t>
  </si>
  <si>
    <t>广东省江门市高新区东宁路101号万利公寓206</t>
  </si>
  <si>
    <t>土家</t>
  </si>
  <si>
    <t>贵州铜仁</t>
  </si>
  <si>
    <t>36684</t>
  </si>
  <si>
    <t>15398848652</t>
  </si>
  <si>
    <t>广东省乐昌市三溪镇车头园村委会偏石组2号</t>
  </si>
  <si>
    <t>440281200302265213</t>
  </si>
  <si>
    <t>广东省江门市江海区外海街道西安里七巷7号</t>
  </si>
  <si>
    <t>37607</t>
  </si>
  <si>
    <t>中共党员</t>
  </si>
  <si>
    <t>13322915979</t>
  </si>
  <si>
    <t>河南省获嘉县冯庄镇职王村社区东区纬二路5号</t>
  </si>
  <si>
    <t>410724199610055014</t>
  </si>
  <si>
    <t>广东省江门市江海区外海街道海逸星宸星钻轩一栋504</t>
  </si>
  <si>
    <t>河南获嘉县</t>
  </si>
  <si>
    <t>37938</t>
  </si>
  <si>
    <t>15658885717</t>
  </si>
  <si>
    <t>广西北流市石窝镇煌炉村六粟组22-1号</t>
  </si>
  <si>
    <t>450981199906085031</t>
  </si>
  <si>
    <t>广东省江门市蓬江区杜阮绿景苑</t>
  </si>
  <si>
    <t>38368</t>
  </si>
  <si>
    <t>13042963223</t>
  </si>
  <si>
    <t>广东省雷州市雷城街道广朝南街9589号</t>
  </si>
  <si>
    <t>440882199908180015</t>
  </si>
  <si>
    <t>39072</t>
  </si>
  <si>
    <t>13135738600</t>
  </si>
  <si>
    <t>湖北省广水市应山办事处三里河街特3号</t>
  </si>
  <si>
    <t>411424200111126631</t>
  </si>
  <si>
    <t>广东省江门市常只街四巷</t>
  </si>
  <si>
    <t>河南商丘</t>
  </si>
  <si>
    <t>2026</t>
  </si>
  <si>
    <t>23386</t>
  </si>
  <si>
    <r>
      <rPr>
        <sz val="9"/>
        <color rgb="FF000000"/>
        <rFont val="微软雅黑"/>
        <charset val="134"/>
      </rPr>
      <t>2023年4月总裁办调至集采处；2023年2月1日由秘书处调至总裁办；2022年11月16日由集采处集采物控员调至秘书处总裁办秘书；21年4月调整到工程项目部；2021年10月25日调至集采处</t>
    </r>
    <r>
      <rPr>
        <sz val="9"/>
        <color rgb="FF000000"/>
        <rFont val="微软雅黑"/>
        <charset val="134"/>
      </rPr>
      <t xml:space="preserve"> </t>
    </r>
  </si>
  <si>
    <t>18802589602</t>
  </si>
  <si>
    <t>广东省江门市新会区三江镇联和塘上里86号</t>
  </si>
  <si>
    <t>440782199806195325</t>
  </si>
  <si>
    <t>江门市江海区天鹅湾庄园苑12幢之一1403</t>
  </si>
  <si>
    <t>15159</t>
  </si>
  <si>
    <t>2023年10月17日技术部异动至工程项目部；2023年2月27日工程部调为结构工程部；2022年9月14日工程部调至工程综合组。2022年6月调至工程部工程组；2022年4月BOM组调至结构部工程组</t>
  </si>
  <si>
    <t>17376911160</t>
  </si>
  <si>
    <t>广东省揭阳市揭东区锡场镇东仓村大丘田北二</t>
  </si>
  <si>
    <t>445221199612024936</t>
  </si>
  <si>
    <t>广东省江门市高新区东宁路101号万利公寓316</t>
  </si>
  <si>
    <t>理工</t>
  </si>
  <si>
    <t>2019</t>
  </si>
  <si>
    <t>37562</t>
  </si>
  <si>
    <t>食堂监察组长</t>
  </si>
  <si>
    <t>17507504504</t>
  </si>
  <si>
    <t>广西武宣县东乡镇金岗村民委金榜村5队116号</t>
  </si>
  <si>
    <t>452225199705174217</t>
  </si>
  <si>
    <t>江门市蓬江区育德东苑15栋603号</t>
  </si>
  <si>
    <t>不对口</t>
  </si>
  <si>
    <t>广西武宣</t>
  </si>
  <si>
    <t>37294</t>
  </si>
  <si>
    <t>2025年11月18日由行政部异动至后勤部</t>
  </si>
  <si>
    <t>13422692587</t>
  </si>
  <si>
    <t>广东省江门市江海区江南江南路7号603</t>
  </si>
  <si>
    <t>440702200308050928</t>
  </si>
  <si>
    <t>广东省江门市江海区翠园里10号</t>
  </si>
  <si>
    <t>38041</t>
  </si>
  <si>
    <t>17361712072</t>
  </si>
  <si>
    <t>广东省江门市江海区礼乐威西永贤里43号</t>
  </si>
  <si>
    <t>440702200109151523</t>
  </si>
  <si>
    <t>31586</t>
  </si>
  <si>
    <t>13375965660</t>
  </si>
  <si>
    <t>贵州省印江土家族苗族自治县洋溪镇新阳村老寨组</t>
  </si>
  <si>
    <t>522226199706162810</t>
  </si>
  <si>
    <t>广东省江门市高新区东宁路101号万利公寓221</t>
  </si>
  <si>
    <t>2023</t>
  </si>
  <si>
    <t>29496</t>
  </si>
  <si>
    <t>保洁员</t>
  </si>
  <si>
    <t>2025年10月18日由行政部异动至后勤部</t>
  </si>
  <si>
    <t>15913645957</t>
  </si>
  <si>
    <t>广东省江门市江海区武东茂隆里223号</t>
  </si>
  <si>
    <t>440702197912251561</t>
  </si>
  <si>
    <t>34407</t>
  </si>
  <si>
    <t>户外环境卫生监察专员</t>
  </si>
  <si>
    <t>生产部</t>
  </si>
  <si>
    <t>江西外包人员</t>
  </si>
  <si>
    <t>18718961051</t>
  </si>
  <si>
    <t>广东省罗定市太平镇太西村委石豆4号</t>
  </si>
  <si>
    <t>445381199004080872</t>
  </si>
  <si>
    <t>广东省江门市高新区东宁路101号万利公寓225</t>
  </si>
  <si>
    <t>广东罗定</t>
  </si>
  <si>
    <t>35803</t>
  </si>
  <si>
    <t>13630471086</t>
  </si>
  <si>
    <t>广东省德庆县九市镇九市村委会山顶村024号</t>
  </si>
  <si>
    <t>441226198107064025</t>
  </si>
  <si>
    <t>广东省江门市江海区麻园麻三环溪新村51号302</t>
  </si>
  <si>
    <t>广东肇庆</t>
  </si>
  <si>
    <t>36822</t>
  </si>
  <si>
    <t>罗艮英</t>
  </si>
  <si>
    <t>15917839209</t>
  </si>
  <si>
    <t>广东省鹤山市共和镇平汉村民委员会榜塘村75号</t>
  </si>
  <si>
    <t>440784198206232127</t>
  </si>
  <si>
    <t>江门市江海区仁美新村35号之二503</t>
  </si>
  <si>
    <t>鹤山市职业技术学校</t>
  </si>
  <si>
    <t>37352</t>
  </si>
  <si>
    <t>13326822341</t>
  </si>
  <si>
    <t>广东省江门市江海区礼乐镇龙九如里50号</t>
  </si>
  <si>
    <t>440702198709221548</t>
  </si>
  <si>
    <t>37576</t>
  </si>
  <si>
    <t>13536044786</t>
  </si>
  <si>
    <t>广东省江门市蓬江区金怡居30幢之三401室</t>
  </si>
  <si>
    <t>610526198412056766</t>
  </si>
  <si>
    <t>陕西蒲城</t>
  </si>
  <si>
    <t>38569</t>
  </si>
  <si>
    <t>13631843329</t>
  </si>
  <si>
    <t>广东省江门市江海区外海东安里大街7号</t>
  </si>
  <si>
    <t>430481198410116708</t>
  </si>
  <si>
    <t>38570</t>
  </si>
  <si>
    <t>陆小娟</t>
  </si>
  <si>
    <t>13631854353</t>
  </si>
  <si>
    <t>广东省英德市沙口镇石坑村委会岭背组</t>
  </si>
  <si>
    <t>440782198001166848</t>
  </si>
  <si>
    <t>广东省江门市江南街道南苑里77号</t>
  </si>
  <si>
    <t>桐井中学</t>
  </si>
  <si>
    <t>1003</t>
  </si>
  <si>
    <t>2023年3月由物管部调至工程项目部；2022年7月由物管部成品组主管调至工程项目部物管主管；2021年4月财务部调物管部；2020年4月由账务组长晋升为成品主管</t>
  </si>
  <si>
    <t>13555664920</t>
  </si>
  <si>
    <t>广东省江门市新会区双水镇朱村新堂村51号</t>
  </si>
  <si>
    <t>440721197504083326</t>
  </si>
  <si>
    <t>广东省江门市篷江区水南路61号503</t>
  </si>
  <si>
    <t>财务</t>
  </si>
  <si>
    <t>2016</t>
  </si>
  <si>
    <t>21741</t>
  </si>
  <si>
    <t>2025年9月16日由行政部异动至后勤部</t>
  </si>
  <si>
    <t>15019891811</t>
  </si>
  <si>
    <t>广西靖西市龙临镇龙明村大明屯16号</t>
  </si>
  <si>
    <t>452626199709273827</t>
  </si>
  <si>
    <t>广东省江门市江海区外海街道上石里十一巷3号</t>
  </si>
  <si>
    <t>壮</t>
  </si>
  <si>
    <t>广西</t>
  </si>
  <si>
    <t>2020</t>
  </si>
  <si>
    <t>29099</t>
  </si>
  <si>
    <t>2024年11月调回宝士 生产二车间 2023年9月普工调为多能工；2023年2月1日由工程项目部调至生产部； 2023年2月1日由生产部2022年11月15日生产部调至工程项目部</t>
  </si>
  <si>
    <t>15009559052</t>
  </si>
  <si>
    <t>山西省永济市城西街道小张村第四组</t>
  </si>
  <si>
    <t>142702198907220336</t>
  </si>
  <si>
    <t>山西永济</t>
  </si>
  <si>
    <t>34690</t>
  </si>
  <si>
    <t>13354399472</t>
  </si>
  <si>
    <t>广东省江门市新会区三江镇新马单马驷一村26号</t>
  </si>
  <si>
    <t>440782200110205316</t>
  </si>
  <si>
    <t>广东省江门市新会区侨乐路18号716</t>
  </si>
  <si>
    <t>4823</t>
  </si>
  <si>
    <t>曹艺强</t>
  </si>
  <si>
    <t>材料监察</t>
  </si>
  <si>
    <t>2023年8月物管部调至工程项目部；2022年12月入宝士；2021年12月1日入熹润；2022年4月由仓管员调至工程项目 物管专员；2022年6月调回仓管员</t>
  </si>
  <si>
    <t>13059257597</t>
  </si>
  <si>
    <t>广东省台山市广海镇城北那章村15号</t>
  </si>
  <si>
    <t>440781199101185534</t>
  </si>
  <si>
    <t>振华中学</t>
  </si>
  <si>
    <t>广东台山</t>
  </si>
  <si>
    <t>2017</t>
  </si>
  <si>
    <t>22017</t>
  </si>
  <si>
    <t>2025年11月26日由行政部调整至后勤部；2025年9月晋升代主管</t>
  </si>
  <si>
    <t>15876267071</t>
  </si>
  <si>
    <t>广东省江门市新会区古井镇慈溪第八村十五巷7号</t>
  </si>
  <si>
    <t>440782199706175028</t>
  </si>
  <si>
    <t>广东省江门市江海区东宁路101号万利公寓301</t>
  </si>
  <si>
    <t>21740</t>
  </si>
  <si>
    <t>2026.2.5行政异动至后勤部； 2022年6月24日由食宿专员调为代组长；2025.6.5由代组长转正为行政组长；2025年9月晋升代主管</t>
  </si>
  <si>
    <t>13855764701</t>
  </si>
  <si>
    <t>安徽省萧县赵庄镇韩庄行政村韩庄自然村71号</t>
  </si>
  <si>
    <t>342222199512243242</t>
  </si>
  <si>
    <t>广东省江门市江海区外海镇外海街道杏仁路亚奎巷13号</t>
  </si>
  <si>
    <t>37594</t>
  </si>
  <si>
    <t>行政接待专员</t>
  </si>
  <si>
    <t>2025年12月10日行政部异动至后勤部；2025年9月16日由后勤部异动至行政部</t>
  </si>
  <si>
    <t>15975063278</t>
  </si>
  <si>
    <t>广东省江门市江海区外海利亨街4巷4号</t>
  </si>
  <si>
    <t>440702200102221824</t>
  </si>
  <si>
    <t>广东省江门市江海区海逸星宸星海轩3栋602</t>
  </si>
  <si>
    <t>37604</t>
  </si>
  <si>
    <t>2025年9月16日由后勤部异动至行政部</t>
  </si>
  <si>
    <t>13432206471</t>
  </si>
  <si>
    <t>广东省江门市新会区睦洲镇石板沙下冲队45号</t>
  </si>
  <si>
    <t>44070520030529562X</t>
  </si>
  <si>
    <t>广东省江门市新会区睦洲镇新兴街西六巷8号</t>
  </si>
  <si>
    <t>27804</t>
  </si>
  <si>
    <t>2025年11月26日由行政部调整至后勤部</t>
  </si>
  <si>
    <t>13211293635</t>
  </si>
  <si>
    <t>广西贵港市覃塘区黄练镇大董村天堂屯267-1号</t>
  </si>
  <si>
    <t>450802199212273635</t>
  </si>
  <si>
    <t>广东省江门市江海区外海镇石涌里15号</t>
  </si>
  <si>
    <t>广西贵港</t>
  </si>
  <si>
    <t>27805</t>
  </si>
  <si>
    <t>13534765675</t>
  </si>
  <si>
    <t>广东省江门市江海区江南天鹅湾绿岛苑1幢之四902室</t>
  </si>
  <si>
    <t>440711198912034517</t>
  </si>
  <si>
    <t>36700</t>
  </si>
  <si>
    <t>13426711131</t>
  </si>
  <si>
    <t>广东省江门市新会区大鳌镇大鳌第五里228号</t>
  </si>
  <si>
    <t>44078219950718591X</t>
  </si>
  <si>
    <t>4874</t>
  </si>
  <si>
    <t>13500287759</t>
  </si>
  <si>
    <t>广东省江门市江海区外海石冲里25号</t>
  </si>
  <si>
    <t>440701197212163310</t>
  </si>
  <si>
    <t>广东省江门市江海区外海街道办事处石冲里25号</t>
  </si>
  <si>
    <t>14</t>
  </si>
  <si>
    <t>13824085096</t>
  </si>
  <si>
    <t>广东省江门市江海区外海麻二石塘里20号</t>
  </si>
  <si>
    <t>440702198407101815</t>
  </si>
  <si>
    <t>广东省江门市江海区外海街道办事处麻二石塘里20号</t>
  </si>
  <si>
    <t>2010</t>
  </si>
  <si>
    <t>37309</t>
  </si>
  <si>
    <t>2026.2.5行政部异动至后勤部行政事务处；</t>
  </si>
  <si>
    <t>13822431287</t>
  </si>
  <si>
    <t>广东省江门市新会区双水镇仓前石叟村835号</t>
  </si>
  <si>
    <t>440705200305093120</t>
  </si>
  <si>
    <t>广东省江门市新会双水镇石叟村835号</t>
  </si>
  <si>
    <t>HR</t>
  </si>
  <si>
    <t>37950</t>
  </si>
  <si>
    <t>废料事务专管</t>
  </si>
  <si>
    <t>2026.2.5行政部异动至后勤部行政事务处</t>
  </si>
  <si>
    <t>18675004975</t>
  </si>
  <si>
    <t>广东省江门市新会区会城沙咀村13号</t>
  </si>
  <si>
    <t>440782200009028028</t>
  </si>
  <si>
    <t>25050</t>
  </si>
  <si>
    <t>2023年5月4日由IT组调至总监办；2022年12月5日由行政部调至IT组</t>
  </si>
  <si>
    <t>13556903761</t>
  </si>
  <si>
    <t>广东省江门市江海区礼乐新华新宁里131号</t>
  </si>
  <si>
    <t>440702198305261535</t>
  </si>
  <si>
    <t>数字化</t>
  </si>
  <si>
    <t>34566</t>
  </si>
  <si>
    <t>2025年11月18日由财务部异动至后勤部；2025年10月11日由后勤部异动至财务部；2025年9月16日由技术部异动至后勤部</t>
  </si>
  <si>
    <t>17707505579</t>
  </si>
  <si>
    <t>广东省江门市蓬江区江边里37号301</t>
  </si>
  <si>
    <t>440711200103105418</t>
  </si>
  <si>
    <t>广东省江门市蓬江区莱茵华庭22栋2003</t>
  </si>
  <si>
    <t>37264</t>
  </si>
  <si>
    <t>15698443151</t>
  </si>
  <si>
    <t>海南省海口市龙华区学院路三号</t>
  </si>
  <si>
    <t>142724200109080031</t>
  </si>
  <si>
    <t>40041</t>
  </si>
  <si>
    <t>山西省太原市杏花岭区金林佳园</t>
  </si>
  <si>
    <t>山西太原</t>
  </si>
  <si>
    <t>34569</t>
  </si>
  <si>
    <t>2025.6.5由代主管岗位转正为主管</t>
  </si>
  <si>
    <t>13828070366</t>
  </si>
  <si>
    <t>广东省江门市蓬江区棠下镇五洞村民委员会礼三队133号</t>
  </si>
  <si>
    <t>440782198411286818</t>
  </si>
  <si>
    <t>广东省江门市高新区东宁路101号万利公寓325</t>
  </si>
  <si>
    <t>电气工程及其自动化</t>
  </si>
  <si>
    <t>40021</t>
  </si>
  <si>
    <t>13751522490</t>
  </si>
  <si>
    <t>广东佛山</t>
  </si>
  <si>
    <t>40020</t>
  </si>
  <si>
    <t>20645</t>
  </si>
  <si>
    <t>行政组 2023/5/16由生产部-设备维修员调至行政部</t>
  </si>
  <si>
    <t>13169807679</t>
  </si>
  <si>
    <t>广东省江门市江海区礼乐英北兴盛里199号</t>
  </si>
  <si>
    <t>440702199401191519</t>
  </si>
  <si>
    <t>广东省江门市江海区礼乐街道办事处英北兴盛里199号</t>
  </si>
  <si>
    <t>37610</t>
  </si>
  <si>
    <t>10月入外包，11月1日转宝士</t>
  </si>
  <si>
    <t>16635938379</t>
  </si>
  <si>
    <t>山西省运城市盐湖区大渠办南张村二居油桌巷3号</t>
  </si>
  <si>
    <t>142701197806306615</t>
  </si>
  <si>
    <t>广东省江门市高新区云沁路69号宝士制冷宿舍</t>
  </si>
  <si>
    <t>28166</t>
  </si>
  <si>
    <t>15015010118</t>
  </si>
  <si>
    <t>广东省江门市江海区礼乐雄乡西兴里1巷18号</t>
  </si>
  <si>
    <t>440702198901231519</t>
  </si>
  <si>
    <t>广东省江门市江海区礼乐联合高峰汇7栋1604</t>
  </si>
  <si>
    <t>21157</t>
  </si>
  <si>
    <r>
      <rPr>
        <sz val="9"/>
        <color rgb="FF000000"/>
        <rFont val="微软雅黑"/>
        <charset val="134"/>
      </rPr>
      <t xml:space="preserve">江西外包人员 2024年5月东浩转江西 生产二车间 </t>
    </r>
    <r>
      <rPr>
        <sz val="9"/>
        <color rgb="FF000000"/>
        <rFont val="微软雅黑"/>
        <charset val="134"/>
      </rPr>
      <t xml:space="preserve"> 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3月17日起外派高尔夫。2021年10月7日回至生产中试车间返修组。</t>
    </r>
  </si>
  <si>
    <t>13427126228</t>
  </si>
  <si>
    <t>湖南省绥宁县河口苗族乡河口村7组</t>
  </si>
  <si>
    <t>430527198112137815</t>
  </si>
  <si>
    <t>广东省江门市江海区外海中华大道2号305房</t>
  </si>
  <si>
    <t>湖南</t>
  </si>
  <si>
    <t>待招</t>
  </si>
  <si>
    <t>安保处代主管</t>
  </si>
  <si>
    <t>安保代主管</t>
  </si>
  <si>
    <t>退伍军人（本科）</t>
  </si>
  <si>
    <t>数字化工程师</t>
  </si>
  <si>
    <t>985</t>
  </si>
  <si>
    <t>能源管理工程师</t>
  </si>
  <si>
    <t>IT 工程师</t>
  </si>
  <si>
    <t>法务</t>
  </si>
  <si>
    <t>黄海琳</t>
  </si>
  <si>
    <t>数控加工</t>
  </si>
  <si>
    <t>江门职业技术学校</t>
  </si>
  <si>
    <t>谢雅诗</t>
  </si>
  <si>
    <t>工程造价</t>
  </si>
  <si>
    <t>广东工业大学</t>
  </si>
  <si>
    <t>吴翠莲</t>
  </si>
  <si>
    <t>能源与环境系统工程</t>
  </si>
  <si>
    <t>华南农业大学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</si>
</sst>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/mm/dd"/>
    <numFmt numFmtId="178" formatCode="yyyy&quot;年&quot;m&quot;月&quot;d&quot;日&quot;;@"/>
    <numFmt numFmtId="179" formatCode="yyyy/m/d;@"/>
    <numFmt numFmtId="180" formatCode="0.00_);[Red]\(0.00\)"/>
  </numFmts>
  <fonts count="43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sz val="16"/>
      <color theme="1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9"/>
      <name val="宋体"/>
      <charset val="134"/>
    </font>
    <font>
      <b/>
      <sz val="16"/>
      <color theme="0"/>
      <name val="微软雅黑"/>
      <charset val="134"/>
    </font>
    <font>
      <sz val="12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微软雅黑"/>
      <charset val="134"/>
    </font>
    <font>
      <sz val="11"/>
      <color theme="1"/>
      <name val="宋体"/>
      <charset val="134"/>
    </font>
    <font>
      <b/>
      <sz val="12"/>
      <color rgb="FF00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rgb="FF000000" tint="-0.249977111117893"/>
      <name val="微软雅黑"/>
      <charset val="134"/>
    </font>
    <font>
      <sz val="11"/>
      <color rgb="FF000000" tint="-0.49998474074526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6032593768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2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30" applyNumberFormat="0" applyAlignment="0" applyProtection="0">
      <alignment vertical="center"/>
    </xf>
    <xf numFmtId="0" fontId="33" fillId="12" borderId="31" applyNumberFormat="0" applyAlignment="0" applyProtection="0">
      <alignment vertical="center"/>
    </xf>
    <xf numFmtId="0" fontId="34" fillId="12" borderId="30" applyNumberFormat="0" applyAlignment="0" applyProtection="0">
      <alignment vertical="center"/>
    </xf>
    <xf numFmtId="0" fontId="35" fillId="13" borderId="32" applyNumberFormat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0" borderId="34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0">
      <alignment vertical="top"/>
    </xf>
  </cellStyleXfs>
  <cellXfs count="136">
    <xf numFmtId="0" fontId="0" fillId="0" borderId="0" xfId="0">
      <alignment vertical="center"/>
    </xf>
    <xf numFmtId="0" fontId="1" fillId="2" borderId="1" xfId="5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4" fillId="3" borderId="1" xfId="50" applyFont="1" applyFill="1" applyBorder="1" applyAlignment="1">
      <alignment horizontal="center" vertical="center"/>
    </xf>
    <xf numFmtId="49" fontId="4" fillId="3" borderId="1" xfId="50" applyNumberFormat="1" applyFont="1" applyFill="1" applyBorder="1" applyAlignment="1">
      <alignment horizontal="center" vertical="center"/>
    </xf>
    <xf numFmtId="176" fontId="4" fillId="3" borderId="1" xfId="5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5" borderId="1" xfId="50" applyFont="1" applyFill="1" applyBorder="1" applyAlignment="1">
      <alignment horizontal="center" vertical="center"/>
    </xf>
    <xf numFmtId="0" fontId="1" fillId="2" borderId="0" xfId="50" applyFont="1" applyFill="1" applyBorder="1" applyAlignment="1">
      <alignment vertical="center"/>
    </xf>
    <xf numFmtId="0" fontId="1" fillId="2" borderId="3" xfId="50" applyFont="1" applyFill="1" applyBorder="1" applyAlignment="1">
      <alignment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178" fontId="5" fillId="4" borderId="2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center" vertical="center"/>
    </xf>
    <xf numFmtId="177" fontId="5" fillId="4" borderId="2" xfId="0" applyNumberFormat="1" applyFont="1" applyFill="1" applyBorder="1" applyAlignment="1">
      <alignment horizontal="left" vertical="center"/>
    </xf>
    <xf numFmtId="2" fontId="5" fillId="4" borderId="2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178" fontId="5" fillId="4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178" fontId="5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left" vertical="center"/>
    </xf>
    <xf numFmtId="2" fontId="5" fillId="4" borderId="4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31" fontId="0" fillId="0" borderId="1" xfId="0" applyNumberFormat="1" applyBorder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>
      <alignment vertical="center"/>
    </xf>
    <xf numFmtId="0" fontId="7" fillId="6" borderId="14" xfId="0" applyFont="1" applyFill="1" applyBorder="1">
      <alignment vertical="center"/>
    </xf>
    <xf numFmtId="0" fontId="7" fillId="6" borderId="15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8" fillId="2" borderId="1" xfId="0" applyNumberFormat="1" applyFont="1" applyFill="1" applyBorder="1" applyAlignment="1">
      <alignment horizontal="center" vertical="center"/>
    </xf>
    <xf numFmtId="9" fontId="8" fillId="2" borderId="1" xfId="3" applyFont="1" applyFill="1" applyBorder="1" applyAlignment="1">
      <alignment horizontal="center" vertical="center"/>
    </xf>
    <xf numFmtId="9" fontId="8" fillId="2" borderId="21" xfId="3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9" fontId="8" fillId="2" borderId="13" xfId="3" applyFont="1" applyFill="1" applyBorder="1" applyAlignment="1">
      <alignment horizontal="center" vertical="center"/>
    </xf>
    <xf numFmtId="9" fontId="8" fillId="2" borderId="16" xfId="3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0" fontId="11" fillId="7" borderId="0" xfId="0" applyFont="1" applyFill="1" applyAlignment="1">
      <alignment horizontal="center" vertical="center"/>
    </xf>
    <xf numFmtId="178" fontId="11" fillId="7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0" fillId="2" borderId="25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178" fontId="0" fillId="0" borderId="25" xfId="0" applyNumberForma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 applyAlignment="1"/>
    <xf numFmtId="0" fontId="12" fillId="0" borderId="0" xfId="0" applyFont="1" applyFill="1" applyAlignment="1">
      <alignment vertical="center"/>
    </xf>
    <xf numFmtId="0" fontId="0" fillId="0" borderId="0" xfId="0" applyFill="1" applyAlignment="1"/>
    <xf numFmtId="0" fontId="0" fillId="2" borderId="0" xfId="0" applyFill="1" applyAlignment="1">
      <alignment vertical="center"/>
    </xf>
    <xf numFmtId="178" fontId="0" fillId="0" borderId="0" xfId="0" applyNumberFormat="1" applyFill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78" fontId="14" fillId="8" borderId="1" xfId="0" applyNumberFormat="1" applyFont="1" applyFill="1" applyBorder="1" applyAlignment="1">
      <alignment horizontal="center" vertical="center"/>
    </xf>
    <xf numFmtId="178" fontId="13" fillId="8" borderId="1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9" fontId="5" fillId="4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49" fontId="17" fillId="0" borderId="0" xfId="0" applyNumberFormat="1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9" fontId="20" fillId="0" borderId="1" xfId="3" applyFont="1" applyFill="1" applyBorder="1" applyAlignment="1">
      <alignment horizontal="center" vertical="center"/>
    </xf>
    <xf numFmtId="10" fontId="9" fillId="0" borderId="0" xfId="0" applyNumberFormat="1" applyFont="1" applyFill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 vertical="center"/>
    </xf>
    <xf numFmtId="180" fontId="22" fillId="0" borderId="1" xfId="0" applyNumberFormat="1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vertical="center"/>
    </xf>
    <xf numFmtId="180" fontId="23" fillId="0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" Type="http://schemas.openxmlformats.org/officeDocument/2006/relationships/externalLink" Target="externalLinks/externalLink2.xml"/><Relationship Id="rId65" Type="http://schemas.openxmlformats.org/officeDocument/2006/relationships/styles" Target="styles.xml"/><Relationship Id="rId64" Type="http://schemas.openxmlformats.org/officeDocument/2006/relationships/sheetMetadata" Target="metadata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customXml" Target="../customXml/item2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customXml" Target="../customXml/item1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353-0001-A007A-07C-&#24354;-20250729-&#23457;&#2021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THNB00234\aws\Engagements\Modernform%20Group%20Plc\Modernform2002\Documents\TR_A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Account1\my%20documents\Documents%20and%20Settings\bkttr\Desktop\SFI%20YE'03\A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N1102\Mida\Documents%20and%20Settings\All%20Users\Documents\aws\Engagements\Thai%20Plaspac%20Company%20Limited\Thai%20Plaspac2004\Documents\TPP-C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N1102\Mida\Documents%20and%20Settings\All%20Users\Documents\aws\Engagements\Thai%20Plaspac%20Company%20Limited\Thai%20Plaspac2004\Documents\A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A:\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2025\PO1-2023-284-0016-D013C-30L-&#33841;-20241010-&#22871;&#2021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&#50980;&#54637;&#44540;\&#50980;\&#49437;&#46020;&#50868;\&#50900;&#48372;\9612\&#49437;&#46020;&#50868;\&#50900;&#48372;\4\DATA\&#49437;&#46020;&#50868;\&#50900;&#48372;\9512\DATA\&#49437;&#46020;&#50868;\&#50900;&#48372;\9510\9507\R95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Server\center%20data%202008\Documents%20and%20Settings\COM\Desktop\Estimate%20Quotation%20new%20part%209-oc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G:\TEMP\~92078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26426;&#22411;&#24211;&#25104;&#26412;\&#31227;&#21160;&#31354;&#35843;&#27719;&#24635;&#34920;9.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025\&#65288;XXX&#39033;&#30446;&#65289;&#24320;&#21457;&#27969;&#31243;&#27169;&#26495;20230321(1)(1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5253;&#20215;&#26126;&#32454;\&#25253;&#20215;&#21333;-&#37096;&#21697;&#20998;&#31867;&#37096;&#20998;\&#31995;&#32479;-&#21387;&#32553;&#26426;\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5253;&#20215;&#26126;&#32454;\&#25253;&#20215;&#21333;-&#37096;&#21697;&#20998;&#31867;&#37096;&#20998;\&#31995;&#32479;-&#21387;&#32553;&#26426;\08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Server\center%20data%202008\Users\user\Documents\Desktop\BP%202008%20Mini\businees%20plan%20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bkkan\My%20Documents\SCS-S382\Substantive\301-T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JOB\ASIMAR\Quarter\Q3'2002\LeadQ3_20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Hp-server\center%20data\My%20Documents\Pdej\HRM\personnel%20gm\adjust\Salary%20adj%20progm%20%20after%20change%20salary%20and%20for%2020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Kt\d\Financial%20Statements\LeadQ1_200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A:\Evason%20Phuket\JOB\ASIMAR\Quarter\Q2'2002\LeadQ2_2002_updat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012-0362-A011A-14CH-&#28248;-20250730-&#22871;&#20215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&#25104;&#25511;&#20215;&#20540;&#38142;&#25104;&#26412;&#31649;&#25511;.xlsx\http:\dvlomos01:11942\Governance\Optimize%20IT\SBS%20-%20PM%20Lite%20Feb%202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bkttr\Desktop\Lead_ASIMAR_30092004-filled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var\mobile\Containers\Data\Application\F95293BC-7D6D-46AE-98B1-9937A63D0EF8\Documents\309769360_cloud_folder\&#25104;&#25511;&#20215;&#20540;&#38142;&#25104;&#26412;&#31649;&#25511;.xlsx\Kt\d\Financial%20Statements\LeadQ2-2003%20for%20e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4-291-0001-W003A-06C%20-&#33778;-20241021-&#22871;&#2021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Posi\AppData\Roaming\kingsoft\office6\backup\013%20Taurus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012-0182-A018D-09C-PLUS-&#28248;-20250730-&#22871;&#2021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6679;&#26426;&#27719;&#24635;&#34920;\KS-PP2304-0008-A025-0364-A025A-07CH-&#22372;-3.2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5253;&#20215;&#26126;&#32454;\&#27888;&#22269;&#25253;&#20215;\35%25&#27979;&#31639;\A027bom\A027B-08C%20CEC&#8212;&#8212;PS1-2024-176-1003-A027F-08CH%20CEC&#29190;&#25913;A027B-08C%20CE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2-2025-218-2008%202009-A018C-14C%20(Ashrae)-&#24354;-202507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6679;&#26426;&#27719;&#24635;&#34920;\KS-PP24D013-01-001-0396-D013B-45L-W-&#24354;-2025062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6679;&#26426;&#27719;&#24635;&#34920;\PS1-2025-260-1015-A027D-07C%20WIFI-&#33993;-20250530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S1-2025-258-0008-A011A-18CH%20&#24102;WIFI-&#28248;-20250730-&#22871;&#20215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2-2025-326-2005%202006-A023A-12C%20&#21452;&#39118;&#31649;&#21464;&#39057;-&#24354;-2025071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3-2021-050-0009-D002B-5L-&#33841;-20250124-&#22871;&#2021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5104;&#26412;&#25511;&#21046;&#37096;-&#26426;&#22411;&#25104;&#26412;\&#37329;&#34678;&#22235;&#23457;&#27719;&#24635;&#34920;\&#25972;&#26426;BOM&#28165;&#21333;(&#19968;&#23457;)\PS1-2025-050-0003-1%20D016A-12L%20&#38742;2025082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S1-2025-260-1004-D013C-30L%20wifi%20&#28145;&#28784;-&#24354;-20250828&#22871;&#2021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&#22871;&#20215;\2024\2024\PL2-2024-056-0013-KY-15A007H-&#22372;-5.1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Garden-HK\INTERGAMMA\IG-Furniture,%20Camping,%20BBQ,%20Inflatable\Project%20Season%202017\04_Quotation%20Sheet\Homelife\CUSTOMERS\IG\Quotation\Homlife-IG%20quotation%20sheet%2020160829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D:\Desktop\PO4-2025-291-0005-W006A-10C%20&#21464;&#39057;-&#22372;-2024121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D:\Desktop\PO4-2025-291-0004-W006A-12C%20&#21464;&#39057;-&#22372;-2024121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020-0002-A027J-06C-&#28248;-20250605-&#23457;&#20215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D:\Desktop\PO4-2025-291-0003-W006A-08C%20&#21464;&#39057;-&#22372;-2024121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062-0014-A023A-09C-&#23450;&#39057;-&#21333;&#31649;-&#28248;-20250827&#22871;&#2021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062-0021-A023A-14CH-&#23450;&#39057;-&#21333;&#31649;-&#24605;-20250827-&#22871;&#2021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4-062-1031-A023A-12CH-&#23450;&#39057;-&#21333;&#31649;-&#24422;-20250827-&#22871;&#20215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188-0009-D015B-12L-&#24354;-2025080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D:\&#25104;&#26412;&#25511;&#21046;&#37096;-&#26426;&#22411;&#25104;&#26412;\&#37329;&#34678;&#22235;&#23457;&#27719;&#24635;&#34920;\&#25972;&#26426;BOM&#28165;&#21333;(&#19968;&#23457;)\PO1-2025-224-1002-D019A-24L&#65288;50pint&#65289;-&#31903;-20250306-&#23457;&#20215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284-0009-D015B-10L-&#24354;-2025080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5972;&#26426;BOM&#28165;&#21333;(&#19968;&#23457;)\PO1-2025-263-0007-D015B-16L-&#28248;-2025072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ocuments\WeChat%20Files\wxid_2r7y61myl5c221\FileStorage\File\2024-03\PO3-2024-291-0006-W003A-06C-&#33841;-3.1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6679;&#26426;&#27719;&#24635;&#34920;\PS1-2025-093-0034-A027J-07C%20-&#24354;-2025061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r\mobile\Containers\Data\Application\F95293BC-7D6D-46AE-98B1-9937A63D0EF8\Documents\309769360_cloud_folder\E:\Users\mt-feng\Desktop\Project\3.&#39033;&#30446;&#36319;&#36827;\8.A023&#24179;&#21488;&#39033;&#30446;\2&#39033;&#30446;&#36827;&#24230;\D013C%20WBS&#21021;&#29256;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t-feng\Desktop\Project\3.&#39033;&#30446;&#36319;&#36827;\8.A023&#24179;&#21488;&#39033;&#30446;\2&#39033;&#30446;&#36827;&#24230;\D013C%20WBS&#21021;&#29256;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\Rita%20&#24037;&#20316;&#36164;&#26009;\001-OBI&#12304;&#20329;&#38639;&#20132;&#25509;&#12305;\Bonus\2022\2022%20bonus%20&#36164;&#26009;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4;&#26412;&#25511;&#21046;&#37096;-&#26426;&#22411;&#25104;&#26412;\&#37329;&#34678;&#22235;&#23457;&#27719;&#24635;&#34920;\&#26679;&#26426;&#27719;&#24635;&#34920;\PS2-2025-342-0001-D017A-06L-&#24354;-202507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5-353-0001 A007A-07C"/>
      <sheetName val="C-1"/>
      <sheetName val="销售订单序时簿"/>
      <sheetName val="D002A-10L"/>
      <sheetName val="BOM"/>
      <sheetName val="D013C-20L项目里程碑"/>
      <sheetName val="ELEC45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DJ - RATE"/>
      <sheetName val="ADJ _ RATE"/>
      <sheetName val="SCB 1 - Current"/>
      <sheetName val="SCB 2 - Current"/>
      <sheetName val="Master"/>
      <sheetName val="เงินกู้ธนชาติ"/>
      <sheetName val="เงินกู้ MGC"/>
      <sheetName val="Invoice"/>
      <sheetName val="ตั๋วเงินรับ"/>
      <sheetName val="BALANCE SHEET "/>
      <sheetName val="BS ATTACH"/>
      <sheetName val="เขตการค้าย่อย"/>
      <sheetName val="LC _ TR Listing"/>
      <sheetName val="Customize Your Invoice"/>
      <sheetName val="TR_AP"/>
      <sheetName val="VariableII  period"/>
      <sheetName val="CRITERIA1"/>
      <sheetName val="TYPE"/>
      <sheetName val="Dec 2001"/>
      <sheetName val="DIV186"/>
      <sheetName val="1"/>
      <sheetName val="Detail-Sep"/>
      <sheetName val="Stock Aging"/>
      <sheetName val="6"/>
      <sheetName val="9"/>
      <sheetName val="Sheet1 (2)"/>
      <sheetName val="Input"/>
      <sheetName val="desc"/>
      <sheetName val="MENU"/>
      <sheetName val="Data"/>
      <sheetName val="CF RECONCILE - 1"/>
      <sheetName val="Final"/>
      <sheetName val="Sal"/>
      <sheetName val="CIPA"/>
      <sheetName val="03中"/>
      <sheetName val="DEPT"/>
      <sheetName val="Currency"/>
      <sheetName val="Cost Centers"/>
      <sheetName val="K-5"/>
      <sheetName val=" IB-PL-00-01 SUMMARY"/>
      <sheetName val="Saptco00"/>
      <sheetName val="ADJ_-_RATE"/>
      <sheetName val="ADJ___RATE"/>
      <sheetName val="Update_041110"/>
      <sheetName val="sub-mat2011"/>
      <sheetName val="Sheet1"/>
      <sheetName val="Sheet2"/>
      <sheetName val="Sheet3"/>
      <sheetName val="M_Maincomp"/>
      <sheetName val="DataInput1"/>
      <sheetName val="DAT"/>
      <sheetName val="D03"/>
      <sheetName val="S01"/>
      <sheetName val="S02"/>
      <sheetName val="S03"/>
      <sheetName val="S04"/>
      <sheetName val="S05"/>
      <sheetName val="S06"/>
      <sheetName val="S13"/>
      <sheetName val="Customize Your Purchase Order"/>
      <sheetName val="Locations"/>
      <sheetName val="Summary"/>
      <sheetName val="Budgets"/>
      <sheetName val="M_CT_OUT"/>
      <sheetName val="SCB_1_-_Current"/>
      <sheetName val="SCB_2_-_Current"/>
      <sheetName val="เงินกู้_MGC"/>
      <sheetName val="LC___TR_Listing"/>
      <sheetName val="BALANCE_SHEET_"/>
      <sheetName val="BS_ATTACH"/>
      <sheetName val="VariableII__period"/>
      <sheetName val="Customize_Your_Invoice"/>
      <sheetName val="Stock_Aging"/>
      <sheetName val="Dec_2001"/>
      <sheetName val="Sheet1_(2)"/>
      <sheetName val="CF_RECONCILE_-_1"/>
      <sheetName val="REVISED_VERSION1"/>
      <sheetName val="Assumptions"/>
      <sheetName val="DCF"/>
      <sheetName val="SKA"/>
      <sheetName val="163040 LC_TR"/>
      <sheetName val="Header"/>
      <sheetName val="CJEs"/>
      <sheetName val="PL"/>
      <sheetName val="CRJE"/>
      <sheetName val="Discontinue_Item"/>
      <sheetName val="DEPSYS47"/>
      <sheetName val="DEP12"/>
      <sheetName val="Trial Balance"/>
      <sheetName val=" IBPL0001"/>
      <sheetName val="ﾕｰｻﾞｰ設定"/>
      <sheetName val="resumen"/>
      <sheetName val="10-1 Media"/>
      <sheetName val="10-cut"/>
      <sheetName val="Parameters"/>
      <sheetName val="SBM"/>
      <sheetName val="Family"/>
      <sheetName val="ALL KSFC RIGS EXCEPT R-5"/>
      <sheetName val="CONTROL"/>
      <sheetName val="FP Friends Other"/>
      <sheetName val="163040 LC-TR"/>
      <sheetName val="3645-9_1_96"/>
      <sheetName val="ADJ_-_RATE1"/>
      <sheetName val="ADJ___RATE1"/>
      <sheetName val="Cost_Centers"/>
      <sheetName val="_IB-PL-00-01_SUMMARY"/>
      <sheetName val="10-1_Media"/>
      <sheetName val="Customize_Your_Purchase_Order"/>
      <sheetName val="CUSTOMER"/>
      <sheetName val="FF-3"/>
      <sheetName val="Disposal"/>
      <sheetName val="Inputs"/>
      <sheetName val="PPR50"/>
      <sheetName val="TrialBalance Q3-2002"/>
      <sheetName val="Workbook Inputs"/>
      <sheetName val="D"/>
      <sheetName val="Seg-rent"/>
      <sheetName val="INDEX"/>
      <sheetName val="อมตะCiyt"/>
      <sheetName val="Exp"/>
      <sheetName val="ADJ_-_RATE2"/>
      <sheetName val="ADJ___RATE2"/>
      <sheetName val="SCB_1_-_Current2"/>
      <sheetName val="SCB_2_-_Current2"/>
      <sheetName val="BALANCE_SHEET_2"/>
      <sheetName val="BS_ATTACH2"/>
      <sheetName val="Sheet1_(2)2"/>
      <sheetName val="เงินกู้_MGC1"/>
      <sheetName val="LC___TR_Listing1"/>
      <sheetName val="Customize_Your_Invoice1"/>
      <sheetName val="Stock_Aging1"/>
      <sheetName val="VariableII__period1"/>
      <sheetName val="Dec_20011"/>
      <sheetName val="CF_RECONCILE_-_11"/>
      <sheetName val="SCB_1_-_Current1"/>
      <sheetName val="SCB_2_-_Current1"/>
      <sheetName val="BALANCE_SHEET_1"/>
      <sheetName val="BS_ATTACH1"/>
      <sheetName val="Sheet1_(2)1"/>
      <sheetName val="인원계획-미화"/>
      <sheetName val="?????????????"/>
      <sheetName val="FY10-Loss"/>
      <sheetName val="CA Sheet"/>
      <sheetName val="F9 Parameters"/>
      <sheetName val="19"/>
      <sheetName val="MA"/>
      <sheetName val="A6"/>
      <sheetName val="ADJ_-_RATE3"/>
      <sheetName val="ADJ___RATE3"/>
      <sheetName val="SCB_1_-_Current3"/>
      <sheetName val="SCB_2_-_Current3"/>
      <sheetName val="เงินกู้_MGC2"/>
      <sheetName val="BALANCE_SHEET_3"/>
      <sheetName val="BS_ATTACH3"/>
      <sheetName val="LC___TR_Listing2"/>
      <sheetName val="VariableII__period2"/>
      <sheetName val="Customize_Your_Invoice2"/>
      <sheetName val="Stock_Aging2"/>
      <sheetName val="Dec_20012"/>
      <sheetName val="Sheet1_(2)3"/>
      <sheetName val="CF_RECONCILE_-_12"/>
      <sheetName val="ALL_KSFC_RIGS_EXCEPT_R-5"/>
      <sheetName val="FP_Friends_Other"/>
      <sheetName val="163040_LC_TR"/>
      <sheetName val="Total Inventory"/>
      <sheetName val="RM&amp;Sparepart"/>
      <sheetName val="Semi FG&amp;FG"/>
      <sheetName val="GL_Dec'14"/>
      <sheetName val="AHP_MASTER_ITEM(P%)06-Apr-2015_"/>
      <sheetName val="Provision NRV"/>
      <sheetName val="SWDV"/>
      <sheetName val="Depr"/>
      <sheetName val="LC"/>
      <sheetName val="MD&amp;A"/>
      <sheetName val="D190.2"/>
      <sheetName val="Variance"/>
      <sheetName val="Model-Monthly"/>
      <sheetName val="Bang chiet tinh TBA"/>
      <sheetName val="input data"/>
      <sheetName val="BS"/>
      <sheetName val="DB PPC PSF"/>
      <sheetName val="ADJ_-_RATE4"/>
      <sheetName val="ADJ___RATE4"/>
      <sheetName val="SCB_1_-_Current4"/>
      <sheetName val="SCB_2_-_Current4"/>
      <sheetName val="เงินกู้_MGC3"/>
      <sheetName val="BALANCE_SHEET_4"/>
      <sheetName val="BS_ATTACH4"/>
      <sheetName val="LC___TR_Listing3"/>
      <sheetName val="VariableII__period3"/>
      <sheetName val="Customize_Your_Invoice3"/>
      <sheetName val="Stock_Aging3"/>
      <sheetName val="Dec_20013"/>
      <sheetName val="Sheet1_(2)4"/>
      <sheetName val="CF_RECONCILE_-_13"/>
      <sheetName val="Cost_Centers1"/>
      <sheetName val="_IB-PL-00-01_SUMMARY1"/>
      <sheetName val="Customize_Your_Purchase_Order1"/>
      <sheetName val="10-1_Media1"/>
      <sheetName val="ALL_KSFC_RIGS_EXCEPT_R-51"/>
      <sheetName val="FP_Friends_Other1"/>
      <sheetName val="163040_LC_TR1"/>
      <sheetName val="Total_Inventory"/>
      <sheetName val="Semi_FG&amp;FG"/>
      <sheetName val="Provision_NRV"/>
      <sheetName val="Trial_Balance"/>
      <sheetName val="_IBPL0001"/>
      <sheetName val="163040_LC-TR"/>
      <sheetName val="TrialBalance_Q3-2002"/>
      <sheetName val="Workbook_Inputs"/>
      <sheetName val="CA_Sheet"/>
      <sheetName val="F9_Parameters"/>
      <sheetName val="???????????"/>
      <sheetName val="table"/>
      <sheetName val="Customize Your Loan Manager"/>
      <sheetName val="Data Entry"/>
      <sheetName val="Valo DCF"/>
      <sheetName val="Energy(update)"/>
      <sheetName val="DI"/>
      <sheetName val="D190_2"/>
      <sheetName val="head Jan"/>
      <sheetName val="By Person"/>
      <sheetName val="List info"/>
      <sheetName val="CA_Sheet1"/>
      <sheetName val="Demand"/>
      <sheetName val="ADJ_-_RATE5"/>
      <sheetName val="ADJ___RATE5"/>
      <sheetName val="SCB_1_-_Current5"/>
      <sheetName val="SCB_2_-_Current5"/>
      <sheetName val="เงินกู้_MGC4"/>
      <sheetName val="BALANCE_SHEET_5"/>
      <sheetName val="BS_ATTACH5"/>
      <sheetName val="LC___TR_Listing4"/>
      <sheetName val="VariableII__period4"/>
      <sheetName val="Customize_Your_Invoice4"/>
      <sheetName val="Stock_Aging4"/>
      <sheetName val="Sheet1_(2)5"/>
      <sheetName val="Dec_20014"/>
      <sheetName val="CF_RECONCILE_-_14"/>
      <sheetName val="Cost_Centers2"/>
      <sheetName val="_IB-PL-00-01_SUMMARY2"/>
      <sheetName val="Customize_Your_Purchase_Order2"/>
      <sheetName val="10-1_Media2"/>
      <sheetName val="ALL_KSFC_RIGS_EXCEPT_R-52"/>
      <sheetName val="FP_Friends_Other2"/>
      <sheetName val="163040_LC_TR2"/>
      <sheetName val="Total_Inventory1"/>
      <sheetName val="Semi_FG&amp;FG1"/>
      <sheetName val="Provision_NRV1"/>
      <sheetName val="CA_Sheet2"/>
      <sheetName val="Trial_Balance1"/>
      <sheetName val="_IBPL00011"/>
      <sheetName val="163040_LC-TR1"/>
      <sheetName val="TrialBalance_Q3-20021"/>
      <sheetName val="Workbook_Inputs1"/>
      <sheetName val="Bang_chiet_tinh_TBA"/>
      <sheetName val="Customize_Your_Loan_Manager"/>
      <sheetName val="_____________"/>
      <sheetName val="OCT-2001"/>
      <sheetName val="Plan-02"/>
      <sheetName val="CONSTANTS"/>
      <sheetName val="요인분석"/>
      <sheetName val="Manual"/>
      <sheetName val="Combine"/>
      <sheetName val="Parameter"/>
      <sheetName val="Cover"/>
      <sheetName val="P&amp;L"/>
      <sheetName val="Delta"/>
      <sheetName val="Manpower"/>
      <sheetName val="Tabelas"/>
      <sheetName val="ADJ_-_RATE6"/>
      <sheetName val="ADJ___RATE6"/>
      <sheetName val="SCB_1_-_Current6"/>
      <sheetName val="SCB_2_-_Current6"/>
      <sheetName val="เงินกู้_MGC5"/>
      <sheetName val="BALANCE_SHEET_6"/>
      <sheetName val="BS_ATTACH6"/>
      <sheetName val="LC___TR_Listing5"/>
      <sheetName val="VariableII__period5"/>
      <sheetName val="Customize_Your_Invoice5"/>
      <sheetName val="Stock_Aging5"/>
      <sheetName val="Sheet1_(2)6"/>
      <sheetName val="Dec_20015"/>
      <sheetName val="CF_RECONCILE_-_15"/>
      <sheetName val="Cost_Centers3"/>
      <sheetName val="_IB-PL-00-01_SUMMARY3"/>
      <sheetName val="Customize_Your_Purchase_Order3"/>
      <sheetName val="10-1_Media3"/>
      <sheetName val="ALL_KSFC_RIGS_EXCEPT_R-53"/>
      <sheetName val="FP_Friends_Other3"/>
      <sheetName val="163040_LC_TR3"/>
      <sheetName val="Total_Inventory2"/>
      <sheetName val="Semi_FG&amp;FG2"/>
      <sheetName val="Provision_NRV2"/>
      <sheetName val="CA_Sheet3"/>
      <sheetName val="Trial_Balance2"/>
      <sheetName val="_IBPL00012"/>
      <sheetName val="163040_LC-TR2"/>
      <sheetName val="TrialBalance_Q3-20022"/>
      <sheetName val="Workbook_Inputs2"/>
      <sheetName val="F9_Parameters1"/>
      <sheetName val="D190_21"/>
      <sheetName val="Bang_chiet_tinh_TBA1"/>
      <sheetName val="Customize_Your_Loan_Manager1"/>
      <sheetName val="Sal07"/>
      <sheetName val="ng 12"/>
      <sheetName val="テーブル"/>
      <sheetName val="Quote"/>
      <sheetName val="YSS31"/>
      <sheetName val="total"/>
      <sheetName val="ORGANIZATION PLASTIC GROUP "/>
      <sheetName val="ORGANIZATION PLASTIC GROUP  2"/>
      <sheetName val="IMPROVE MAN POWER"/>
      <sheetName val="ฟอล์ม B2"/>
      <sheetName val="Man power SPEC"/>
      <sheetName val="Man power SPEC (2)"/>
      <sheetName val="Current ORG"/>
      <sheetName val="ปรับโครงสร้าง"/>
      <sheetName val="Blank ORG"/>
      <sheetName val="DLOT Calculate"/>
      <sheetName val="ประเมิน "/>
      <sheetName val="Improvement Plan"/>
      <sheetName val="รายชื่อพนักงาน "/>
      <sheetName val="Machine capacity"/>
      <sheetName val="DLOT Current"/>
      <sheetName val="ORG (2)"/>
      <sheetName val="Injection new"/>
      <sheetName val="Injection new "/>
      <sheetName val="A+B"/>
      <sheetName val="บังคับเป็น"/>
      <sheetName val="ปรับปรุง"/>
      <sheetName val="Record CR"/>
      <sheetName val="LOOSECHKLIST"/>
      <sheetName val="FF_3"/>
      <sheetName val="Bloomberg"/>
      <sheetName val="Asset41_42"/>
      <sheetName val="ELEC45-01"/>
      <sheetName val="งบดุล"/>
      <sheetName val="Lead"/>
      <sheetName val="Links"/>
      <sheetName val="ADJ_-_RATE7"/>
      <sheetName val="ADJ___RATE7"/>
      <sheetName val="SCB_1_-_Current7"/>
      <sheetName val="SCB_2_-_Current7"/>
      <sheetName val="เงินกู้_MGC6"/>
      <sheetName val="BALANCE_SHEET_7"/>
      <sheetName val="BS_ATTACH7"/>
      <sheetName val="LC___TR_Listing6"/>
      <sheetName val="VariableII__period6"/>
      <sheetName val="Customize_Your_Invoice6"/>
      <sheetName val="Stock_Aging6"/>
      <sheetName val="Dec_20016"/>
      <sheetName val="Sheet1_(2)7"/>
      <sheetName val="CF_RECONCILE_-_16"/>
      <sheetName val="Cost_Centers4"/>
      <sheetName val="_IB-PL-00-01_SUMMARY4"/>
      <sheetName val="Customize_Your_Purchase_Order4"/>
      <sheetName val="10-1_Media4"/>
      <sheetName val="ALL_KSFC_RIGS_EXCEPT_R-54"/>
      <sheetName val="FP_Friends_Other4"/>
      <sheetName val="163040_LC_TR4"/>
      <sheetName val="163040_LC-TR3"/>
      <sheetName val="Trial_Balance3"/>
      <sheetName val="_IBPL00013"/>
      <sheetName val="TrialBalance_Q3-20023"/>
      <sheetName val="Workbook_Inputs3"/>
      <sheetName val="CA_Sheet4"/>
      <sheetName val="F9_Parameters2"/>
      <sheetName val="Total_Inventory3"/>
      <sheetName val="Semi_FG&amp;FG3"/>
      <sheetName val="Provision_NRV3"/>
      <sheetName val="Customize_Your_Loan_Manager2"/>
      <sheetName val="D190_22"/>
      <sheetName val="Bang_chiet_tinh_TBA2"/>
      <sheetName val="Data_Entry"/>
      <sheetName val="input_data"/>
      <sheetName val="Valo_DCF"/>
      <sheetName val="head_Jan"/>
      <sheetName val="List_info"/>
      <sheetName val="By_Person"/>
      <sheetName val="DB_PPC_PSF"/>
      <sheetName val="ADJ_-_RATE8"/>
      <sheetName val="ADJ___RATE8"/>
      <sheetName val="SCB_1_-_Current8"/>
      <sheetName val="SCB_2_-_Current8"/>
      <sheetName val="เงินกู้_MGC7"/>
      <sheetName val="BALANCE_SHEET_8"/>
      <sheetName val="BS_ATTACH8"/>
      <sheetName val="LC___TR_Listing7"/>
      <sheetName val="VariableII__period7"/>
      <sheetName val="Customize_Your_Invoice7"/>
      <sheetName val="Stock_Aging7"/>
      <sheetName val="Dec_20017"/>
      <sheetName val="Sheet1_(2)8"/>
      <sheetName val="CF_RECONCILE_-_17"/>
      <sheetName val="Cost_Centers5"/>
      <sheetName val="_IB-PL-00-01_SUMMARY5"/>
      <sheetName val="Customize_Your_Purchase_Order5"/>
      <sheetName val="10-1_Media5"/>
      <sheetName val="ALL_KSFC_RIGS_EXCEPT_R-55"/>
      <sheetName val="FP_Friends_Other5"/>
      <sheetName val="163040_LC_TR5"/>
      <sheetName val="163040_LC-TR4"/>
      <sheetName val="Trial_Balance4"/>
      <sheetName val="_IBPL00014"/>
      <sheetName val="TrialBalance_Q3-20024"/>
      <sheetName val="Workbook_Inputs4"/>
      <sheetName val="CA_Sheet5"/>
      <sheetName val="F9_Parameters3"/>
      <sheetName val="Total_Inventory4"/>
      <sheetName val="Semi_FG&amp;FG4"/>
      <sheetName val="Provision_NRV4"/>
      <sheetName val="Customize_Your_Loan_Manager3"/>
      <sheetName val="D190_23"/>
      <sheetName val="Bang_chiet_tinh_TBA3"/>
      <sheetName val="Data_Entry1"/>
      <sheetName val="input_data1"/>
      <sheetName val="Valo_DCF1"/>
      <sheetName val="head_Jan1"/>
      <sheetName val="List_info1"/>
      <sheetName val="By_Person1"/>
      <sheetName val="DB_PPC_PSF1"/>
      <sheetName val="Sheet5"/>
      <sheetName val="Note"/>
      <sheetName val="BUDGET"/>
      <sheetName val="NOV"/>
      <sheetName val="Incident  NP 2017"/>
      <sheetName val="Co. Code"/>
      <sheetName val="DealerData"/>
      <sheetName val="WT_Util 99 LE"/>
      <sheetName val="PTA P&amp;S"/>
      <sheetName val="Waste Treatment Variable "/>
      <sheetName val="Plant_Overhead"/>
      <sheetName val="0"/>
      <sheetName val="CAN DOI - KET QUA"/>
      <sheetName val="ZD300"/>
      <sheetName val="detail"/>
      <sheetName val="Input_TB"/>
      <sheetName val="Input_MV"/>
      <sheetName val="Drop List"/>
      <sheetName val="สรุปรวม"/>
      <sheetName val="Standing Data"/>
      <sheetName val="Asset &amp; Liability"/>
      <sheetName val="Net asset value"/>
      <sheetName val="oresreqsum"/>
      <sheetName val="Cost center"/>
      <sheetName val="4Q"/>
      <sheetName val="Documents"/>
      <sheetName val="BOI sum"/>
      <sheetName val="Update CIT_FY19"/>
      <sheetName val="TB_FY19"/>
      <sheetName val="Tax computation_BOI"/>
      <sheetName val="A) Provision schedule"/>
      <sheetName val="A2) 834 Inventory"/>
      <sheetName val="B1) 646 Retirement"/>
      <sheetName val="B2) 746 Retirement "/>
      <sheetName val="C1) 791-0000-20 Private exp."/>
      <sheetName val="TB (as of 31DEC)"/>
      <sheetName val="C2) 779-0000-20 Misc."/>
      <sheetName val="C1) 663 Car Lease"/>
      <sheetName val="C2) 758 Car Lease"/>
      <sheetName val="A)Entertainment"/>
      <sheetName val="D) Training"/>
      <sheetName val="WHT"/>
      <sheetName val="E) HY test_PwC"/>
      <sheetName val="F) RD 604"/>
      <sheetName val="G) RD 642"/>
      <sheetName val="Question"/>
      <sheetName val="การหาผลรวม"/>
      <sheetName val="Month v YTD"/>
      <sheetName val=" IB-PL-YTD"/>
      <sheetName val="F1771-2"/>
      <sheetName val="選酋表"/>
      <sheetName val="head_Jan2"/>
      <sheetName val="DAY"/>
      <sheetName val="MAT"/>
      <sheetName val="manreq"/>
      <sheetName val="datalist"/>
      <sheetName val="load"/>
      <sheetName val="Setup"/>
      <sheetName val="Database"/>
      <sheetName val="Sales"/>
      <sheetName val="A"/>
      <sheetName val="PG7"/>
      <sheetName val="PG8"/>
      <sheetName val="liste"/>
      <sheetName val="___________"/>
      <sheetName val="CA"/>
      <sheetName val="Newspaper"/>
      <sheetName val="TO - SP"/>
      <sheetName val="Company Info"/>
      <sheetName val="CA Comp"/>
      <sheetName val="BPR"/>
      <sheetName val="cost4-47"/>
      <sheetName val="Group"/>
      <sheetName val="10"/>
      <sheetName val="PX"/>
      <sheetName val="PRODUCT"/>
      <sheetName val="All employee"/>
      <sheetName val="OthCode"/>
      <sheetName val="Datasheet"/>
      <sheetName val="สัญญาบริการอื่น"/>
      <sheetName val="ค่าที่ปรึกษา"/>
      <sheetName val="สัญญาเช่าสนง"/>
      <sheetName val="7251-02000-02252"/>
      <sheetName val="7251-01xxxx"/>
      <sheetName val="Cost_center"/>
      <sheetName val="Cost_center1"/>
      <sheetName val="Cost_center2"/>
      <sheetName val="Cost_center3"/>
      <sheetName val="ICM"/>
      <sheetName val="CIV"/>
      <sheetName val="เงินสดย่อย"/>
      <sheetName val="Bank CA&amp;SA"/>
      <sheetName val="เช็คฝากระหว่างทาง"/>
      <sheetName val="ลูกหนี้อื่นๆ"/>
      <sheetName val="AR -CID"/>
      <sheetName val="ดบ.ค้างรับ Tisco"/>
      <sheetName val="คชจ.ล่วงหน้า"/>
      <sheetName val="เงินทดรองจ่าย"/>
      <sheetName val="ก่อสร้าง.ล่วงหน้า"/>
      <sheetName val="ภาษีหัก ณ ที่จ่าย"/>
      <sheetName val="ลูกหนี้สรรพากร"/>
      <sheetName val="สินทรัพย์อื่น"/>
      <sheetName val="คชจ.รอเรียกเก็บ TDT"/>
      <sheetName val="อาคาร"/>
      <sheetName val="ค่าปรับปรุงอาคาร"/>
      <sheetName val="รถยนต์"/>
      <sheetName val="อุปกรณ์ฯ"/>
      <sheetName val="อุปกรณ์(หน่วยงาน) "/>
      <sheetName val="อุปกรณ์ตกแต่ง"/>
      <sheetName val="ลิขสิทธิ์"/>
      <sheetName val="เงินประกัน"/>
      <sheetName val="เงินมัดจำ,รับอื่นๆ"/>
      <sheetName val="สินค้าคงเหลือ(ซื้อคืน)"/>
      <sheetName val="ISV_Cost"/>
      <sheetName val="ICS_Budget&amp;Cost"/>
      <sheetName val="ICS_Cost by units"/>
      <sheetName val="ICM_Budget&amp;Cost Phase I"/>
      <sheetName val="ICM_Budget Cost Phase II"/>
      <sheetName val="ICm_Cost by units"/>
      <sheetName val="CIV_AP 2-131-00"/>
      <sheetName val="ICM_AP 2-131-00"/>
      <sheetName val="CIV_AP 2-133-00"/>
      <sheetName val="ICM_AP 2-133-00"/>
      <sheetName val="ICM_AP RPT"/>
      <sheetName val="CIV_AP RPT"/>
      <sheetName val="CHQระหว่างทาง.2-132-00"/>
      <sheetName val="ดอกผลเช่าชื้อ"/>
      <sheetName val="สรุปงวดผ่อนเช่าซื้อ"/>
      <sheetName val="ตั๋วเงินจ่าย"/>
      <sheetName val="ภาษีเงินได้หัก ณ ที่จ่าย"/>
      <sheetName val="ภาษีขาย"/>
      <sheetName val="เงินประกันสังคม"/>
      <sheetName val="ค่าใช้จ่ายค้างจ่าย"/>
      <sheetName val="ค้างจ่าย CID"/>
      <sheetName val="งานก่อสร้างค้างจ่าย"/>
      <sheetName val="เงินประกันก่อสร้าง"/>
      <sheetName val="เงินมัดจำอื่น"/>
      <sheetName val="เงินทดรองรับ 2-191-00"/>
      <sheetName val="เงินทดรองรับ 2-193-00"/>
      <sheetName val="เงินทดรองรับ 2-194-xx"/>
      <sheetName val="ดอกเบี้ยค้างจ่าย-ICM"/>
      <sheetName val="ดอกเบี้ยค้างจ่าย-ICS"/>
      <sheetName val="ดอกเบี้ยค้างจ่าย-TDT"/>
      <sheetName val="สรุปเงินมัดจำห้องชุด Agent"/>
      <sheetName val="Commission-Tiny (Chinese)"/>
      <sheetName val="Commission-Sky Pro (Thai)"/>
      <sheetName val="สรุปเงินมัดจำห้องชุด"/>
      <sheetName val="IV_เงินมัดจำ-ห้องชุด"/>
      <sheetName val="ICS_เงินมัดจำ-ห้องชุด"/>
      <sheetName val="ICM_เงินมัดจำ-ห้องชุด"/>
      <sheetName val="สำรองผลประโยชน์พนง."/>
      <sheetName val="รายได้ค่าเช่า"/>
      <sheetName val="รายได้ค่าบริการ"/>
      <sheetName val="รด.บริหาร"/>
      <sheetName val="รด.อื่น"/>
      <sheetName val="6-120-10 ค่าเช่า"/>
      <sheetName val="6-120-20 ค่าบริการ"/>
      <sheetName val="6-120-50 ค่าซ่อมแซม"/>
      <sheetName val="6-150-10 ค่าที่ปรึกษา"/>
      <sheetName val="6-130-20 ส่งเสริมการขาย"/>
      <sheetName val="6-130-30 คอมมิชชั่น-ICS"/>
      <sheetName val="6-130-30 คอมมิชชั่น-ICM"/>
      <sheetName val="ค่าธรรมเนียมโอน+ภาษีธุรกิจเฉพาะ"/>
      <sheetName val="#6-200-00 ดอกเบี้ยจ่าย"/>
      <sheetName val="รายละเอียดประกอบ"/>
      <sheetName val="งบค่าใช้จ่าย"/>
      <sheetName val="TB"/>
      <sheetName val="TB-CIV"/>
      <sheetName val="TB-ICM"/>
      <sheetName val="ADJ_-_RATE9"/>
      <sheetName val="ADJ___RATE9"/>
      <sheetName val="SCB_1_-_Current9"/>
      <sheetName val="SCB_2_-_Current9"/>
      <sheetName val="BALANCE_SHEET_9"/>
      <sheetName val="BS_ATTACH9"/>
      <sheetName val="เงินกู้_MGC8"/>
      <sheetName val="Customize_Your_Invoice8"/>
      <sheetName val="LC___TR_Listing8"/>
      <sheetName val="VariableII__period8"/>
      <sheetName val="Stock_Aging8"/>
      <sheetName val="Dec_20018"/>
      <sheetName val="Sheet1_(2)9"/>
      <sheetName val="10-1_Media6"/>
      <sheetName val="CF_RECONCILE_-_18"/>
      <sheetName val="Cost_Centers6"/>
      <sheetName val="Customize_Your_Purchase_Order6"/>
      <sheetName val="_IB-PL-00-01_SUMMARY6"/>
      <sheetName val="163040_LC_TR6"/>
      <sheetName val="Trial_Balance5"/>
      <sheetName val="_IBPL00015"/>
      <sheetName val="CA_Sheet6"/>
      <sheetName val="FP_Friends_Other6"/>
      <sheetName val="ALL_KSFC_RIGS_EXCEPT_R-56"/>
      <sheetName val="163040_LC-TR5"/>
      <sheetName val="TrialBalance_Q3-20025"/>
      <sheetName val="Workbook_Inputs5"/>
      <sheetName val="F9_Parameters4"/>
      <sheetName val="Total_Inventory5"/>
      <sheetName val="Semi_FG&amp;FG5"/>
      <sheetName val="Provision_NRV5"/>
      <sheetName val="D190_24"/>
      <sheetName val="Bang_chiet_tinh_TBA4"/>
      <sheetName val="input_data2"/>
      <sheetName val="DB_PPC_PSF2"/>
      <sheetName val="By_Person2"/>
      <sheetName val="Customize_Your_Loan_Manager4"/>
      <sheetName val="Data_Entry2"/>
      <sheetName val="Valo_DCF2"/>
      <sheetName val="List_info2"/>
      <sheetName val="ng_12"/>
      <sheetName val="Record_CR"/>
      <sheetName val="WT_Util_99_LE"/>
      <sheetName val="PTA_P&amp;S"/>
      <sheetName val="Waste_Treatment_Variable_"/>
      <sheetName val="Co__Code"/>
      <sheetName val="Incident__NP_2017"/>
      <sheetName val="Cost_center4"/>
      <sheetName val="Standing_Data"/>
      <sheetName val="Asset_&amp;_Liability"/>
      <sheetName val="Net_asset_value"/>
      <sheetName val="Drop_List"/>
      <sheetName val="CAN_DOI_-_KET_QUA"/>
      <sheetName val="Bank_CA&amp;SA"/>
      <sheetName val="AR_-CID"/>
      <sheetName val="ดบ_ค้างรับ_Tisco"/>
      <sheetName val="คชจ_ล่วงหน้า"/>
      <sheetName val="ก่อสร้าง_ล่วงหน้า"/>
      <sheetName val="ภาษีหัก_ณ_ที่จ่าย"/>
      <sheetName val="คชจ_รอเรียกเก็บ_TDT"/>
      <sheetName val="อุปกรณ์(หน่วยงาน)_"/>
      <sheetName val="ICS_Cost_by_units"/>
      <sheetName val="ICM_Budget&amp;Cost_Phase_I"/>
      <sheetName val="ICM_Budget_Cost_Phase_II"/>
      <sheetName val="ICm_Cost_by_units"/>
      <sheetName val="CIV_AP_2-131-00"/>
      <sheetName val="ICM_AP_2-131-00"/>
      <sheetName val="CIV_AP_2-133-00"/>
      <sheetName val="ICM_AP_2-133-00"/>
      <sheetName val="ICM_AP_RPT"/>
      <sheetName val="CIV_AP_RPT"/>
      <sheetName val="CHQระหว่างทาง_2-132-00"/>
      <sheetName val="ภาษีเงินได้หัก_ณ_ที่จ่าย"/>
      <sheetName val="ค้างจ่าย_CID"/>
      <sheetName val="เงินทดรองรับ_2-191-00"/>
      <sheetName val="เงินทดรองรับ_2-193-00"/>
      <sheetName val="เงินทดรองรับ_2-194-xx"/>
      <sheetName val="สรุปเงินมัดจำห้องชุด_Agent"/>
      <sheetName val="Commission-Tiny_(Chinese)"/>
      <sheetName val="Commission-Sky_Pro_(Thai)"/>
      <sheetName val="สำรองผลประโยชน์พนง_"/>
      <sheetName val="รด_บริหาร"/>
      <sheetName val="รด_อื่น"/>
      <sheetName val="6-120-10_ค่าเช่า"/>
      <sheetName val="6-120-20_ค่าบริการ"/>
      <sheetName val="6-120-50_ค่าซ่อมแซม"/>
      <sheetName val="6-150-10_ค่าที่ปรึกษา"/>
      <sheetName val="6-130-20_ส่งเสริมการขาย"/>
      <sheetName val="6-130-30_คอมมิชชั่น-ICS"/>
      <sheetName val="6-130-30_คอมมิชชั่น-ICM"/>
      <sheetName val="#6-200-00_ดอกเบี้ยจ่าย"/>
      <sheetName val="TO_-_SP"/>
      <sheetName val="Company_Info"/>
      <sheetName val="CA_Comp"/>
      <sheetName val="All_employee"/>
      <sheetName val="Sep"/>
      <sheetName val="Spec 22104"/>
      <sheetName val="J&amp;Q"/>
      <sheetName val="MJFT"/>
      <sheetName val="ref"/>
      <sheetName val="FF_4"/>
      <sheetName val="Sheet"/>
      <sheetName val="Conso"/>
      <sheetName val="Write off"/>
      <sheetName val="Cost centre expenditure"/>
      <sheetName val="addl cost"/>
      <sheetName val="accumdeprn"/>
      <sheetName val="APCODE"/>
      <sheetName val="AA-1"/>
      <sheetName val="Cash Flow"/>
      <sheetName val="Co info"/>
      <sheetName val="Financial Summary"/>
      <sheetName val="Adj&amp;Rje(Z820) "/>
      <sheetName val="note_defect"/>
      <sheetName val="Drop down list"/>
      <sheetName val="Balance Sheet"/>
      <sheetName val="Y"/>
      <sheetName val="แบบฟอร์มที่ 7 original"/>
      <sheetName val="แบบฟอร์มที่ 7 Project Base"/>
      <sheetName val="unitcostรวม"/>
      <sheetName val="ค่าขนส่ง"/>
      <sheetName val="fs-ytd"/>
      <sheetName val="ADJ_-_RATE10"/>
      <sheetName val="ADJ___RATE10"/>
      <sheetName val="SCB_1_-_Current10"/>
      <sheetName val="SCB_2_-_Current10"/>
      <sheetName val="เงินกู้_MGC9"/>
      <sheetName val="BALANCE_SHEET_10"/>
      <sheetName val="BS_ATTACH10"/>
      <sheetName val="LC___TR_Listing9"/>
      <sheetName val="Customize_Your_Invoice9"/>
      <sheetName val="VariableII__period9"/>
      <sheetName val="Stock_Aging9"/>
      <sheetName val="Dec_20019"/>
      <sheetName val="Sheet1_(2)10"/>
      <sheetName val="CF_RECONCILE_-_19"/>
      <sheetName val="Cost_Centers7"/>
      <sheetName val="_IB-PL-00-01_SUMMARY7"/>
      <sheetName val="10-1_Media7"/>
      <sheetName val="ALL_KSFC_RIGS_EXCEPT_R-57"/>
      <sheetName val="Customize_Your_Purchase_Order7"/>
      <sheetName val="FP_Friends_Other7"/>
      <sheetName val="163040_LC_TR7"/>
      <sheetName val="Trial_Balance6"/>
      <sheetName val="_IBPL00016"/>
      <sheetName val="163040_LC-TR6"/>
      <sheetName val="CA_Sheet7"/>
      <sheetName val="D190_25"/>
      <sheetName val="F9_Parameters5"/>
      <sheetName val="TrialBalance_Q3-20026"/>
      <sheetName val="Workbook_Inputs6"/>
      <sheetName val="Total_Inventory6"/>
      <sheetName val="Semi_FG&amp;FG6"/>
      <sheetName val="Provision_NRV6"/>
      <sheetName val="Customize_Your_Loan_Manager5"/>
      <sheetName val="Bang_chiet_tinh_TBA5"/>
      <sheetName val="Data_Entry3"/>
      <sheetName val="input_data3"/>
      <sheetName val="head_Jan3"/>
      <sheetName val="Valo_DCF3"/>
      <sheetName val="List_info3"/>
      <sheetName val="By_Person3"/>
      <sheetName val="DB_PPC_PSF3"/>
      <sheetName val="ng_121"/>
      <sheetName val="Record_CR1"/>
      <sheetName val="Incident__NP_20171"/>
      <sheetName val="Co__Code1"/>
      <sheetName val="ADJ_-_RATE11"/>
      <sheetName val="ADJ___RATE11"/>
      <sheetName val="SCB_1_-_Current11"/>
      <sheetName val="SCB_2_-_Current11"/>
      <sheetName val="เงินกู้_MGC10"/>
      <sheetName val="BALANCE_SHEET_11"/>
      <sheetName val="BS_ATTACH11"/>
      <sheetName val="LC___TR_Listing10"/>
      <sheetName val="Customize_Your_Invoice10"/>
      <sheetName val="VariableII__period10"/>
      <sheetName val="Stock_Aging10"/>
      <sheetName val="Dec_200110"/>
      <sheetName val="Sheet1_(2)11"/>
      <sheetName val="CF_RECONCILE_-_110"/>
      <sheetName val="Cost_Centers8"/>
      <sheetName val="_IB-PL-00-01_SUMMARY8"/>
      <sheetName val="10-1_Media8"/>
      <sheetName val="ALL_KSFC_RIGS_EXCEPT_R-58"/>
      <sheetName val="Customize_Your_Purchase_Order8"/>
      <sheetName val="FP_Friends_Other8"/>
      <sheetName val="163040_LC_TR8"/>
      <sheetName val="Trial_Balance7"/>
      <sheetName val="_IBPL00017"/>
      <sheetName val="163040_LC-TR7"/>
      <sheetName val="CA_Sheet8"/>
      <sheetName val="D190_26"/>
      <sheetName val="F9_Parameters6"/>
      <sheetName val="TrialBalance_Q3-20027"/>
      <sheetName val="Workbook_Inputs7"/>
      <sheetName val="Total_Inventory7"/>
      <sheetName val="Semi_FG&amp;FG7"/>
      <sheetName val="Provision_NRV7"/>
      <sheetName val="Customize_Your_Loan_Manager6"/>
      <sheetName val="Bang_chiet_tinh_TBA6"/>
      <sheetName val="Data_Entry4"/>
      <sheetName val="input_data4"/>
      <sheetName val="head_Jan4"/>
      <sheetName val="Valo_DCF4"/>
      <sheetName val="List_info4"/>
      <sheetName val="By_Person4"/>
      <sheetName val="DB_PPC_PSF4"/>
      <sheetName val="ng_122"/>
      <sheetName val="Record_CR2"/>
      <sheetName val="Incident__NP_20172"/>
      <sheetName val="Co__Code2"/>
      <sheetName val="ADJ_-_RATE12"/>
      <sheetName val="ADJ___RATE12"/>
      <sheetName val="SCB_1_-_Current12"/>
      <sheetName val="SCB_2_-_Current12"/>
      <sheetName val="เงินกู้_MGC11"/>
      <sheetName val="BALANCE_SHEET_12"/>
      <sheetName val="BS_ATTACH12"/>
      <sheetName val="LC___TR_Listing11"/>
      <sheetName val="Customize_Your_Invoice11"/>
      <sheetName val="VariableII__period11"/>
      <sheetName val="Stock_Aging11"/>
      <sheetName val="Dec_200111"/>
      <sheetName val="Sheet1_(2)12"/>
      <sheetName val="CF_RECONCILE_-_111"/>
      <sheetName val="Cost_Centers9"/>
      <sheetName val="_IB-PL-00-01_SUMMARY9"/>
      <sheetName val="10-1_Media9"/>
      <sheetName val="ALL_KSFC_RIGS_EXCEPT_R-59"/>
      <sheetName val="Customize_Your_Purchase_Order9"/>
      <sheetName val="FP_Friends_Other9"/>
      <sheetName val="163040_LC_TR9"/>
      <sheetName val="Trial_Balance8"/>
      <sheetName val="_IBPL00018"/>
      <sheetName val="163040_LC-TR8"/>
      <sheetName val="CA_Sheet9"/>
      <sheetName val="D190_27"/>
      <sheetName val="F9_Parameters7"/>
      <sheetName val="TrialBalance_Q3-20028"/>
      <sheetName val="Workbook_Inputs8"/>
      <sheetName val="Total_Inventory8"/>
      <sheetName val="Semi_FG&amp;FG8"/>
      <sheetName val="Provision_NRV8"/>
      <sheetName val="Customize_Your_Loan_Manager7"/>
      <sheetName val="Bang_chiet_tinh_TBA7"/>
      <sheetName val="Data_Entry5"/>
      <sheetName val="input_data5"/>
      <sheetName val="head_Jan5"/>
      <sheetName val="Valo_DCF5"/>
      <sheetName val="List_info5"/>
      <sheetName val="By_Person5"/>
      <sheetName val="DB_PPC_PSF5"/>
      <sheetName val="ng_123"/>
      <sheetName val="Record_CR3"/>
      <sheetName val="Incident__NP_20173"/>
      <sheetName val="Co__Code3"/>
      <sheetName val="ADJ_-_RATE13"/>
      <sheetName val="ADJ___RATE13"/>
      <sheetName val="SCB_1_-_Current13"/>
      <sheetName val="SCB_2_-_Current13"/>
      <sheetName val="เงินกู้_MGC12"/>
      <sheetName val="BALANCE_SHEET_13"/>
      <sheetName val="BS_ATTACH13"/>
      <sheetName val="LC___TR_Listing12"/>
      <sheetName val="Customize_Your_Invoice12"/>
      <sheetName val="VariableII__period12"/>
      <sheetName val="Stock_Aging12"/>
      <sheetName val="Dec_200112"/>
      <sheetName val="Sheet1_(2)13"/>
      <sheetName val="CF_RECONCILE_-_112"/>
      <sheetName val="Cost_Centers10"/>
      <sheetName val="_IB-PL-00-01_SUMMARY10"/>
      <sheetName val="10-1_Media10"/>
      <sheetName val="ALL_KSFC_RIGS_EXCEPT_R-510"/>
      <sheetName val="Customize_Your_Purchase_Order10"/>
      <sheetName val="FP_Friends_Other10"/>
      <sheetName val="163040_LC_TR10"/>
      <sheetName val="Trial_Balance9"/>
      <sheetName val="_IBPL00019"/>
      <sheetName val="163040_LC-TR9"/>
      <sheetName val="CA_Sheet10"/>
      <sheetName val="D190_28"/>
      <sheetName val="F9_Parameters8"/>
      <sheetName val="TrialBalance_Q3-20029"/>
      <sheetName val="Workbook_Inputs9"/>
      <sheetName val="Total_Inventory9"/>
      <sheetName val="Semi_FG&amp;FG9"/>
      <sheetName val="Provision_NRV9"/>
      <sheetName val="Customize_Your_Loan_Manager8"/>
      <sheetName val="Bang_chiet_tinh_TBA8"/>
      <sheetName val="Data_Entry6"/>
      <sheetName val="input_data6"/>
      <sheetName val="head_Jan6"/>
      <sheetName val="Valo_DCF6"/>
      <sheetName val="List_info6"/>
      <sheetName val="By_Person6"/>
      <sheetName val="DB_PPC_PSF6"/>
      <sheetName val="ng_124"/>
      <sheetName val="Record_CR4"/>
      <sheetName val="Incident__NP_20174"/>
      <sheetName val="Co__Code4"/>
      <sheetName val="ADJ_-_RATE14"/>
      <sheetName val="ADJ___RATE14"/>
      <sheetName val="SCB_1_-_Current14"/>
      <sheetName val="SCB_2_-_Current14"/>
      <sheetName val="เงินกู้_MGC13"/>
      <sheetName val="BALANCE_SHEET_14"/>
      <sheetName val="BS_ATTACH14"/>
      <sheetName val="LC___TR_Listing13"/>
      <sheetName val="Customize_Your_Invoice13"/>
      <sheetName val="VariableII__period13"/>
      <sheetName val="Stock_Aging13"/>
      <sheetName val="Dec_200113"/>
      <sheetName val="Sheet1_(2)14"/>
      <sheetName val="CF_RECONCILE_-_113"/>
      <sheetName val="Cost_Centers11"/>
      <sheetName val="_IB-PL-00-01_SUMMARY11"/>
      <sheetName val="10-1_Media11"/>
      <sheetName val="ALL_KSFC_RIGS_EXCEPT_R-511"/>
      <sheetName val="Customize_Your_Purchase_Order11"/>
      <sheetName val="FP_Friends_Other11"/>
      <sheetName val="163040_LC_TR11"/>
      <sheetName val="Trial_Balance10"/>
      <sheetName val="_IBPL000110"/>
      <sheetName val="163040_LC-TR10"/>
      <sheetName val="CA_Sheet11"/>
      <sheetName val="D190_29"/>
      <sheetName val="F9_Parameters9"/>
      <sheetName val="TrialBalance_Q3-200210"/>
      <sheetName val="Workbook_Inputs10"/>
      <sheetName val="Total_Inventory10"/>
      <sheetName val="Semi_FG&amp;FG10"/>
      <sheetName val="Provision_NRV10"/>
      <sheetName val="Customize_Your_Loan_Manager9"/>
      <sheetName val="Bang_chiet_tinh_TBA9"/>
      <sheetName val="Data_Entry7"/>
      <sheetName val="input_data7"/>
      <sheetName val="head_Jan7"/>
      <sheetName val="Valo_DCF7"/>
      <sheetName val="List_info7"/>
      <sheetName val="By_Person7"/>
      <sheetName val="DB_PPC_PSF7"/>
      <sheetName val="ng_125"/>
      <sheetName val="Record_CR5"/>
      <sheetName val="Incident__NP_20175"/>
      <sheetName val="Co__Code5"/>
      <sheetName val="detailitems_159"/>
      <sheetName val="NL+Lcombine"/>
      <sheetName val="Instruction"/>
      <sheetName val="Tables"/>
      <sheetName val="forecast-sgd"/>
      <sheetName val="ENG_SUM_SBM3_2007"/>
      <sheetName val="REV2_ENG-SUM_SBM2_FOR_AGM_CO"/>
      <sheetName val="n-4.4"/>
      <sheetName val="Retire 2015-2017"/>
      <sheetName val="New Item"/>
      <sheetName val="Register Cal Mar_04_July_05 "/>
      <sheetName val="Machine2,3'04"/>
      <sheetName val="B131 "/>
      <sheetName val="Ass"/>
      <sheetName val="DISCOUNT (2)"/>
      <sheetName val="Wellhrs"/>
      <sheetName val="summary_p2"/>
      <sheetName val="กระจายบอร์ด"/>
      <sheetName val="PUF"/>
      <sheetName val="frptolocal"/>
      <sheetName val="FORMC94"/>
      <sheetName val="Details"/>
      <sheetName val="BGT97STAFF"/>
      <sheetName val="GL CB"/>
      <sheetName val="GL M"/>
      <sheetName val="Gain Loss Calculation"/>
      <sheetName val="TB_55(6M)"/>
      <sheetName val="Deferred Charge"/>
      <sheetName val="Detail รายบุคคลปี 58"/>
      <sheetName val="F-3"/>
      <sheetName val="CST1198"/>
      <sheetName val="BAL42"/>
      <sheetName val="FF_2"/>
      <sheetName val="Val_Ind"/>
      <sheetName val="IFS"/>
      <sheetName val="UF"/>
      <sheetName val="HH"/>
      <sheetName val="boq"/>
      <sheetName val="Sale 0404"/>
      <sheetName val="Sale0311"/>
      <sheetName val="Sale0309"/>
      <sheetName val="IBA &lt;O3&gt;"/>
      <sheetName val="Loan Amortization Table"/>
      <sheetName val="Linkage Quote"/>
      <sheetName val="BudgetInput"/>
      <sheetName val="ADJ"/>
      <sheetName val="Haft year tax estimation 1"/>
      <sheetName val="Haft year tax estimation 2"/>
      <sheetName val="Haft year tax estimation (1)"/>
      <sheetName val="Haft year tax estimation (2)"/>
      <sheetName val="Taxcal 6 Month"/>
      <sheetName val="Data Last year"/>
      <sheetName val="FA_2019"/>
      <sheetName val="GL_2019"/>
      <sheetName val="คีย์ข้อมูลรายละเอียดต่างๆ"/>
      <sheetName val="16jun12"/>
      <sheetName val="9jun12"/>
      <sheetName val="12jun12"/>
      <sheetName val="15jun12"/>
      <sheetName val="Month_v_YTD"/>
      <sheetName val="_IB-PL-YTD"/>
      <sheetName val="QR_4.1"/>
      <sheetName val="Weights"/>
      <sheetName val="_Lookup"/>
      <sheetName val="CODE,NAME"/>
      <sheetName val="RATE"/>
      <sheetName val="AFA"/>
      <sheetName val="คชจ.ดำเนินงาน6-43"/>
      <sheetName val="200-110"/>
      <sheetName val="Sale0402"/>
      <sheetName val="description"/>
      <sheetName val="Seagate _share_in_units"/>
      <sheetName val="Norms SP"/>
      <sheetName val="Backup"/>
      <sheetName val="จันทร์"/>
      <sheetName val="Age311299TESP"/>
      <sheetName val="P4DDBFTESP"/>
      <sheetName val="IntDec00TespM&amp;B"/>
      <sheetName val="gl"/>
      <sheetName val="SPARES"/>
      <sheetName val="BSI"/>
      <sheetName val="Defer_ร่วม"/>
      <sheetName val="CBO0497"/>
      <sheetName val="HP"/>
      <sheetName val="Disposition"/>
      <sheetName val="สำนักงาน"/>
      <sheetName val="cal (2)"/>
      <sheetName val="FF-1"/>
      <sheetName val="PAYROLL"/>
      <sheetName val="Reimbursements"/>
      <sheetName val="3 P&amp;L "/>
      <sheetName val="Data 2"/>
      <sheetName val="FF_6"/>
      <sheetName val="SAME"/>
      <sheetName val="#Lookup"/>
      <sheetName val="InventTableModule_1-1"/>
      <sheetName val="B"/>
      <sheetName val="B_Sheet"/>
      <sheetName val="Notes"/>
      <sheetName val="TBal"/>
      <sheetName val="FF_2 _1_"/>
      <sheetName val="FSA"/>
      <sheetName val="Age311299TAS"/>
      <sheetName val="TASintDec00"/>
      <sheetName val="P4DDBFTAS"/>
      <sheetName val="FF_21_a_"/>
      <sheetName val="Non-Statistical Sampling Master"/>
      <sheetName val="Two Step Revenue Testing Master"/>
      <sheetName val="Global Data"/>
      <sheetName val="STart"/>
      <sheetName val="Scoping"/>
      <sheetName val="0100"/>
      <sheetName val="Expense Summary"/>
      <sheetName val="ดอกเบี้ยรับ"/>
      <sheetName val="SSW"/>
      <sheetName val="ชื่อหุ้น"/>
      <sheetName val="B&amp;S 1999"/>
      <sheetName val="อัตราค่าบรรทุก"/>
      <sheetName val="Customer(Farm)"/>
      <sheetName val="Non Movement"/>
      <sheetName val="R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ADJ - RATE"/>
      <sheetName val="K-5"/>
      <sheetName val="VariableII  period"/>
      <sheetName val="standard cost "/>
      <sheetName val="ตั๋วเงินรับ"/>
      <sheetName val="Invoice"/>
      <sheetName val="SCB 1 - Current"/>
      <sheetName val="SCB 2 - Current"/>
      <sheetName val="C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-1"/>
      <sheetName val="C-3"/>
      <sheetName val="C-5"/>
      <sheetName val="C-11"/>
      <sheetName val="ELEC45-01"/>
      <sheetName val="Analysis-PL"/>
      <sheetName val="Detail-segment"/>
      <sheetName val="K-1A"/>
      <sheetName val="2 BS"/>
      <sheetName val="1 Analysis"/>
      <sheetName val="関東ドレージ"/>
      <sheetName val="DLD Query Query Query"/>
      <sheetName val="Sheet1"/>
      <sheetName val="C_1"/>
      <sheetName val="chalinee ปี49"/>
      <sheetName val="Master"/>
      <sheetName val="SCB 1 - Current"/>
      <sheetName val="SCB 2 - Current"/>
      <sheetName val="G001 AD3"/>
      <sheetName val="GROUPTB"/>
      <sheetName val="TrialBalance Q3-2002"/>
      <sheetName val="14A- Mobi Sathorn"/>
      <sheetName val="Driver"/>
      <sheetName val="Company&amp;Project"/>
      <sheetName val="เงินกู้ธนชาติ"/>
      <sheetName val="D002A-10L"/>
      <sheetName val="成本BOM_DIY"/>
      <sheetName val="采购订单序时簿"/>
      <sheetName val="Trial Balance"/>
      <sheetName val="销售订单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C-1"/>
      <sheetName val="K-1"/>
      <sheetName val="K-1A"/>
      <sheetName val="ภาระผูกพันตามโครงการผลประโยชน์"/>
      <sheetName val="211901_คชจ.ค้างจ่าย"/>
      <sheetName val="VariableII  period"/>
      <sheetName val="เง_นก__ธนชาต_"/>
      <sheetName val="2002"/>
      <sheetName val="Variance"/>
      <sheetName val="TB SAP"/>
      <sheetName val="Invoice"/>
      <sheetName val="BOM"/>
      <sheetName val="Bla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เงินกู้ธนชาติ"/>
      <sheetName val="เงินกู้ MGC"/>
      <sheetName val="Sheet1"/>
      <sheetName val="AP Interco."/>
      <sheetName val="Details for Keppel Sin"/>
      <sheetName val="Details for tri"/>
      <sheetName val="MajorAP"/>
      <sheetName val="M-1-1"/>
      <sheetName val="Q1'04"/>
      <sheetName val="Q2'04"/>
      <sheetName val="เง_นก__ธนชาต_"/>
      <sheetName val="เง_นก__ MGC"/>
      <sheetName val="6 weeks rolling forecast"/>
      <sheetName val="Cash082002"/>
      <sheetName val="AP"/>
      <sheetName val="AR"/>
      <sheetName val="mbb"/>
      <sheetName val="mbb-us"/>
      <sheetName val="oub"/>
      <sheetName val="Recon-mbb"/>
      <sheetName val="Recon-oub"/>
      <sheetName val="M-1A"/>
      <sheetName val="database"/>
      <sheetName val="table"/>
      <sheetName val="LS매입채무"/>
      <sheetName val="외상매입금명세"/>
      <sheetName val="지급어음명세"/>
      <sheetName val="?????????????"/>
      <sheetName val="ADJ - RATE"/>
      <sheetName val="Standing Data"/>
      <sheetName val="Asset &amp; Liability"/>
      <sheetName val="Net asset value"/>
      <sheetName val=""/>
      <sheetName val=".9DOZep{"/>
      <sheetName val="Newspaper"/>
      <sheetName val="??????? MGC"/>
      <sheetName val="."/>
      <sheetName val="640600"/>
      <sheetName val="?"/>
      <sheetName val="?.?????????9?D?????O?Z?e?p?{??"/>
      <sheetName val=".?9?D?O?Z?e?p?{??&#10;"/>
      <sheetName val="_____________"/>
      <sheetName val="_______ MGC"/>
      <sheetName val="Sheet2"/>
      <sheetName val="FX rates"/>
      <sheetName val=".9DOZep{&#10;"/>
      <sheetName val="CST1198"/>
      <sheetName val=" IB-PL-00-01 SUMMARY"/>
      <sheetName val="Base Rental"/>
      <sheetName val="10-1 Media"/>
      <sheetName val="10-cut"/>
      <sheetName val="Links"/>
      <sheetName val="Lead"/>
      <sheetName val="เครื่องตกแต่ง"/>
      <sheetName val="อาคาร"/>
      <sheetName val="เครื่องมือ"/>
      <sheetName val="Parameters"/>
      <sheetName val="INFORM"/>
      <sheetName val="___________9_D_____O_Z_e_p____2"/>
      <sheetName val="___________9_D_____O_Z_e_p____3"/>
      <sheetName val="cho"/>
      <sheetName val="fac"/>
      <sheetName val="HOF"/>
      <sheetName val="mal"/>
      <sheetName val="mang"/>
      <sheetName val="Purchase Order"/>
      <sheetName val="Customize Your Purchase Order"/>
      <sheetName val="Data Sources"/>
      <sheetName val="XREF"/>
      <sheetName val="외상매출금현황-수정분 A2"/>
      <sheetName val="master"/>
      <sheetName val="FY04 budget vol"/>
      <sheetName val="___________9_D_____O_Z_e_p____4"/>
      <sheetName val="___________9_D_____O_Z_e_p____5"/>
      <sheetName val="Master Updated(517)"/>
      <sheetName val="Tooling list T lite"/>
      <sheetName val="U-3"/>
      <sheetName val="เงินกู้_MGC"/>
      <sheetName val="AP_Interco_"/>
      <sheetName val="Details_for_Keppel_Sin"/>
      <sheetName val="Details_for_tri"/>
      <sheetName val="เง_นก___MGC"/>
      <sheetName val="6_weeks_rolling_forecast"/>
      <sheetName val="FX_rates"/>
      <sheetName val="ADJ_-_RATE"/>
      <sheetName val="Standing_Data"/>
      <sheetName val="Asset_&amp;_Liability"/>
      <sheetName val="Net_asset_value"/>
      <sheetName val="AFEMAI"/>
      <sheetName val="Call Down Data OLD"/>
      <sheetName val="Assumption Data"/>
      <sheetName val="CANADA"/>
      <sheetName val="GL"/>
      <sheetName val="BL - GL - RJ"/>
      <sheetName val="1020 FF"/>
      <sheetName val="T&amp;E GL"/>
      <sheetName val="T&amp;E System"/>
      <sheetName val="BRAZIL"/>
      <sheetName val="RFC-GRE"/>
      <sheetName val=" IBPL0001"/>
      <sheetName val="PHSB-GL-TB"/>
      <sheetName val="BS"/>
      <sheetName val="FY02 Fcst"/>
      <sheetName val="Consolidated"/>
      <sheetName val="Reest_Budget"/>
      <sheetName val="Product_Category_Input"/>
      <sheetName val="Drop Down Lists"/>
      <sheetName val="CAPEX Import"/>
      <sheetName val="Disposal"/>
      <sheetName val="ตั๋วเงินรับ"/>
      <sheetName val="IR66N"/>
      <sheetName val="Rates Table"/>
      <sheetName val="Value"/>
      <sheetName val="Data"/>
      <sheetName val="type"/>
      <sheetName val="lgth adj fine"/>
      <sheetName val="Gauge Accuracy"/>
      <sheetName val="PARAMETER"/>
      <sheetName val="PG8"/>
      <sheetName val="PG7"/>
      <sheetName val="Drop Down"/>
      <sheetName val="Lookups"/>
      <sheetName val="legal_h"/>
      <sheetName val="Variables"/>
      <sheetName val="P&amp;L-RT"/>
      <sheetName val="Pkg"/>
      <sheetName val="Raw Mat"/>
      <sheetName val="AUDIT FEE"/>
      <sheetName val="Download"/>
      <sheetName val="99年度原単位"/>
      <sheetName val="Thai better foods"/>
      <sheetName val="Cross Ref"/>
      <sheetName val="VData"/>
      <sheetName val="STD_RESERVE"/>
      <sheetName val="CRITERIA1"/>
      <sheetName val="VariableII  period"/>
      <sheetName val="Download Grp Branch"/>
      <sheetName val="Download Lcl Branch"/>
      <sheetName val="Std 06"/>
      <sheetName val="Supporting Tool"/>
      <sheetName val="Invoice"/>
      <sheetName val="Customize Your Invoice"/>
      <sheetName val="MENU"/>
      <sheetName val="TB"/>
      <sheetName val="E"/>
      <sheetName val="L3"/>
      <sheetName val="M"/>
      <sheetName val="U4"/>
      <sheetName val="U2"/>
      <sheetName val="PL"/>
      <sheetName val="Cover"/>
      <sheetName val="PM-TE"/>
      <sheetName val="Plant_Overhead"/>
      <sheetName val="Jung step down (60)"/>
      <sheetName val="BASIC"/>
      <sheetName val="DEP C2001"/>
      <sheetName val="PL12M"/>
      <sheetName val="A"/>
      <sheetName val="N-2"/>
      <sheetName val="สัญญา A"/>
      <sheetName val="Control"/>
      <sheetName val="계정코드"/>
      <sheetName val="เงินกู้_MGC1"/>
      <sheetName val="AP_Interco_1"/>
      <sheetName val="Details_for_Keppel_Sin1"/>
      <sheetName val="Details_for_tri1"/>
      <sheetName val="เง_นก___MGC1"/>
      <sheetName val="6_weeks_rolling_forecast1"/>
      <sheetName val="FX_rates1"/>
      <sheetName val="ADJ_-_RATE1"/>
      <sheetName val="Standing_Data1"/>
      <sheetName val="Asset_&amp;_Liability1"/>
      <sheetName val="Net_asset_value1"/>
      <sheetName val="외상매출금현황-수정분_A2"/>
      <sheetName val="Data_Sources"/>
      <sheetName val="_9DOZep{"/>
      <sheetName val="_9DOZep{&#10;"/>
      <sheetName val="???????_MGC"/>
      <sheetName val="_"/>
      <sheetName val="?_?????????9?D?????O?Z?e?p?{??"/>
      <sheetName val="_?9?D?O?Z?e?p?{??&#10;"/>
      <sheetName val="________MGC"/>
      <sheetName val="Master_Updated(517)"/>
      <sheetName val="Tooling_list_T_lite"/>
      <sheetName val="เงินกู้_MGC2"/>
      <sheetName val="AP_Interco_2"/>
      <sheetName val="Details_for_Keppel_Sin2"/>
      <sheetName val="Details_for_tri2"/>
      <sheetName val="เง_นก___MGC2"/>
      <sheetName val="6_weeks_rolling_forecast2"/>
      <sheetName val="FX_rates2"/>
      <sheetName val="ADJ_-_RATE2"/>
      <sheetName val="Standing_Data2"/>
      <sheetName val="Asset_&amp;_Liability2"/>
      <sheetName val="Net_asset_value2"/>
      <sheetName val="외상매출금현황-수정분_A21"/>
      <sheetName val="Data_Sources1"/>
      <sheetName val="???????_MGC1"/>
      <sheetName val="_1"/>
      <sheetName val="?_?????????9?D?????O?Z?e?p?{?1"/>
      <sheetName val="_?9?D?O?Z?e?p?{??&#10;1"/>
      <sheetName val="________MGC1"/>
      <sheetName val="Master_Updated(517)1"/>
      <sheetName val="Tooling_list_T_lite1"/>
      <sheetName val="Projection"/>
      <sheetName val="Summary"/>
      <sheetName val="list"/>
      <sheetName val="Actual"/>
      <sheetName val="Parameters2"/>
      <sheetName val="Market Segment"/>
      <sheetName val="Owner Unit"/>
      <sheetName val="vendor name"/>
      <sheetName val="HQ"/>
      <sheetName val="MasterSheet"/>
      <sheetName val="INDEX"/>
      <sheetName val="Sheet10"/>
      <sheetName val="Content Page"/>
      <sheetName val="Basic_Information"/>
      <sheetName val="Setup"/>
      <sheetName val="PU+MSS+ESS"/>
      <sheetName val="PLSUMM"/>
      <sheetName val="Elim Seg LM"/>
      <sheetName val="Elim Seg BM"/>
      <sheetName val="Elim Seg AM"/>
      <sheetName val="Table Array"/>
      <sheetName val="2002"/>
      <sheetName val="Setup 2008"/>
      <sheetName val="TrialBalance Q3-2002"/>
      <sheetName val="Output"/>
      <sheetName val="Exp"/>
      <sheetName val="C-1"/>
      <sheetName val="Content"/>
      <sheetName val="GMI"/>
      <sheetName val="p***"/>
      <sheetName val="detail(sum)"/>
      <sheetName val="ELEC45-01"/>
      <sheetName val="Setup 2009"/>
      <sheetName val="EBANOV96"/>
      <sheetName val="f&amp;b (2)"/>
      <sheetName val="P&amp;LSUM"/>
      <sheetName val="K-5"/>
      <sheetName val="Trial Balance"/>
      <sheetName val="Template"/>
      <sheetName val="K-1A"/>
      <sheetName val="0506合并附注"/>
      <sheetName val="2动力设备"/>
      <sheetName val="Heads"/>
      <sheetName val="TB-2001-Apr'01"/>
      <sheetName val="TH00_12080000"/>
      <sheetName val="Dates"/>
      <sheetName val="노무비"/>
      <sheetName val="재무가정"/>
      <sheetName val="detail_profit&amp;loss"/>
      <sheetName val="SCB 1 - Current"/>
      <sheetName val="SCB 2 - Current"/>
      <sheetName val="?????"/>
      <sheetName val="ชื่อหุ้น"/>
      <sheetName val="B&amp;S 1999"/>
      <sheetName val="????-??"/>
      <sheetName val="BUILD95"/>
      <sheetName val="GROUP1"/>
      <sheetName val="1"/>
      <sheetName val="7251-06540"/>
      <sheetName val="Asset41_42"/>
      <sheetName val="Casual2003"/>
      <sheetName val="1602-97"/>
      <sheetName val="@RISK Correlations"/>
      <sheetName val="NEW ZEALAND"/>
      <sheetName val="Detail-Sep"/>
      <sheetName val="_2_ส่งข้อมูลต้นทุนฉีดให้บัญชี"/>
      <sheetName val="Master table"/>
      <sheetName val="7Long term liabilities"/>
      <sheetName val="P&amp;L"/>
      <sheetName val="Nominal Wizard"/>
      <sheetName val="Jan.05"/>
      <sheetName val="BS-Q1'04"/>
      <sheetName val="set_"/>
      <sheetName val="FCT 2008 - HM ok"/>
      <sheetName val="Loan Data"/>
      <sheetName val="ยานพาหนะ"/>
      <sheetName val="Lookup"/>
      <sheetName val="LJ Assumptions"/>
      <sheetName val="LJ Cost"/>
      <sheetName val="LJ His CF"/>
      <sheetName val="YS Loan "/>
      <sheetName val="YS Hotel Budget"/>
      <sheetName val="YS Assumptions"/>
      <sheetName val="YS Cost "/>
      <sheetName val="YS His CF"/>
      <sheetName val="Sheet4"/>
      <sheetName val="new IFS format"/>
      <sheetName val="TMF Draft"/>
      <sheetName val="Fill this out first..."/>
      <sheetName val="FE-1770.P1"/>
      <sheetName val="S-5"/>
      <sheetName val="PA"/>
      <sheetName val="03100(SS)"/>
      <sheetName val="RECY"/>
      <sheetName val="INV"/>
      <sheetName val="FA(NEW)"/>
      <sheetName val="Allocate96-98"/>
      <sheetName val="ค่าวัสดุ"/>
      <sheetName val="K-5 YE"/>
      <sheetName val="Asset 31-12-47"/>
      <sheetName val="BMCT2003"/>
      <sheetName val="CODE"/>
      <sheetName val="CUSTOMER"/>
      <sheetName val="???"/>
      <sheetName val="ADJ _ RATE"/>
      <sheetName val="E-1D"/>
      <sheetName val="fxrates"/>
      <sheetName val="HR"/>
      <sheetName val="Aging"/>
      <sheetName val="P13-R"/>
      <sheetName val="Operational Plan"/>
      <sheetName val="Summary Comparison SGD"/>
      <sheetName val="인원계획-미화"/>
      <sheetName val="U-5"/>
      <sheetName val="U-7.1"/>
      <sheetName val="anaysis_sheet"/>
      <sheetName val="Ratchada"/>
      <sheetName val="N-4.4"/>
      <sheetName val="7 Jan 02"/>
      <sheetName val="oresreqsum"/>
      <sheetName val="Tke"/>
      <sheetName val="DOMESTIC"/>
      <sheetName val="Mkt Dev 1291 ONL 1290 - 1010"/>
      <sheetName val="GAAP Pru"/>
      <sheetName val="PGMMNG"/>
      <sheetName val="SwapData"/>
      <sheetName val="31.12.04"/>
      <sheetName val="Bill No. 2 - Carpark"/>
      <sheetName val="FDR-Jan-99 "/>
      <sheetName val="TB_Hotel"/>
      <sheetName val="sum to LRH"/>
      <sheetName val="6เครื่อง"/>
      <sheetName val="Appendix E"/>
      <sheetName val="Submission Form"/>
      <sheetName val="interest income"/>
      <sheetName val="Procedures"/>
      <sheetName val="Tax Formulas"/>
      <sheetName val="Formulas&amp;Settings"/>
      <sheetName val="Setup Sheet"/>
      <sheetName val="K101 FA Lead"/>
      <sheetName val="N201"/>
      <sheetName val="数外余额"/>
      <sheetName val="グラフデータ"/>
      <sheetName val="F_OH"/>
      <sheetName val="COST (ACC.ขาย10-2005)"/>
      <sheetName val="Book 1 Summary"/>
      <sheetName val="B1"/>
      <sheetName val="Month"/>
      <sheetName val="DEP12"/>
      <sheetName val="HO"/>
      <sheetName val="MA"/>
      <sheetName val="K2"/>
      <sheetName val="M_Maincomp"/>
      <sheetName val="J2"/>
      <sheetName val="group-expense"/>
      <sheetName val="Global Cover"/>
      <sheetName val="Anniversary at Multi Group"/>
      <sheetName val="TheMall_Empo_Sep04"/>
      <sheetName val="M_CT_OUT"/>
      <sheetName val="Burden exp"/>
      <sheetName val="Main Menu"/>
      <sheetName val="AOP Summary-2"/>
      <sheetName val="Header"/>
      <sheetName val="Thailand"/>
      <sheetName val="stockทุน"/>
      <sheetName val="BE"/>
      <sheetName val="MatMan"/>
      <sheetName val="FACTORS"/>
      <sheetName val="Purchase"/>
      <sheetName val="ALL KSFC RIGS EXCEPT R-5"/>
      <sheetName val="GLdownload"/>
      <sheetName val="Entity List"/>
      <sheetName val="เงินกู้ธนช"/>
      <sheetName val="PRODUCT"/>
      <sheetName val="CASA-PLAN"/>
      <sheetName val="Accure"/>
      <sheetName val="V303"/>
      <sheetName val="W-현원가"/>
      <sheetName val="S8"/>
      <sheetName val="SRO"/>
      <sheetName val="Stock"/>
      <sheetName val="10"/>
      <sheetName val="ACC_MASTER"/>
      <sheetName val="Link data"/>
      <sheetName val="Drop down list"/>
      <sheetName val="Assumptions"/>
      <sheetName val="Dimensions"/>
      <sheetName val="ctrl"/>
      <sheetName val="Tax Calculation"/>
      <sheetName val="RIG 134-ASSETS APR 97"/>
      <sheetName val="RIG 027-ASSETS-AFTER 30 JUN 97"/>
      <sheetName val="J1"/>
      <sheetName val="Home Page"/>
      <sheetName val="Interest Rate Projection"/>
      <sheetName val="Drop_Down_Lists"/>
      <sheetName val="CAPEX_Import"/>
      <sheetName val="_IBPL0001"/>
      <sheetName val="Rates_Table"/>
      <sheetName val="_IB-PL-00-01_SUMMARY"/>
      <sheetName val="lgth_adj_fine"/>
      <sheetName val="Gauge_Accuracy"/>
      <sheetName val="Drop_Down"/>
      <sheetName val="AUDIT_FEE"/>
      <sheetName val="Raw_Mat"/>
      <sheetName val="Jung_step_down_(60)"/>
      <sheetName val="Thai_better_foods"/>
      <sheetName val="Cross_Ref"/>
      <sheetName val="Account_Map"/>
      <sheetName val="Table LL13"/>
      <sheetName val="Deckblatt"/>
      <sheetName val="FF7"/>
      <sheetName val="Data2"/>
      <sheetName val="ar_billwise_age"/>
      <sheetName val="BALANCE SHEET "/>
      <sheetName val="New Hire Input &amp; Calc"/>
      <sheetName val="On Board Headcount Changes"/>
      <sheetName val="Permanent info"/>
      <sheetName val="Wkgs_BS Lead"/>
      <sheetName val="STart"/>
      <sheetName val="SAP COMPANY CODES"/>
      <sheetName val="Id"/>
      <sheetName val="Intro2"/>
      <sheetName val="IRELAND"/>
      <sheetName val="Cover2"/>
      <sheetName val="ana u5"/>
      <sheetName val="Genetica Molecular '07"/>
      <sheetName val="General"/>
      <sheetName val="A_TODDI &amp; B_TODDI"/>
      <sheetName val="Common"/>
      <sheetName val="SUM RV-November"/>
      <sheetName val="desc"/>
      <sheetName val="p___"/>
      <sheetName val="Q_TS_AERP_MONTHLY"/>
      <sheetName val="LookupTable"/>
      <sheetName val="MCS_P&amp;L_By_Sub_ USD"/>
      <sheetName val="lab paced"/>
      <sheetName val="Main"/>
      <sheetName val="Elimination"/>
      <sheetName val="Cost Center"/>
      <sheetName val="03中"/>
      <sheetName val="AP-FAsb"/>
      <sheetName val="21 Ocl"/>
      <sheetName val="acc.depre-report-old"/>
      <sheetName val="FC"/>
      <sheetName val="Debt Info"/>
      <sheetName val="DENMARK"/>
      <sheetName val="Currency"/>
      <sheetName val="6289105-"/>
      <sheetName val="Investment Database"/>
      <sheetName val="Final"/>
      <sheetName val="resumen"/>
      <sheetName val="CF RECONCILE - 1"/>
      <sheetName val="N-4 Patent right"/>
      <sheetName val="Config"/>
      <sheetName val="공사개요"/>
      <sheetName val="TB Data base"/>
      <sheetName val="10-1_Media"/>
      <sheetName val="FY04_budget_vol"/>
      <sheetName val="Call_Down_Data_OLD"/>
      <sheetName val="Assumption_Data"/>
      <sheetName val="BL_-_GL_-_RJ"/>
      <sheetName val="1020_FF"/>
      <sheetName val="T&amp;E_GL"/>
      <sheetName val="T&amp;E_System"/>
      <sheetName val="FY02_Fcst"/>
      <sheetName val="Base_Rental"/>
      <sheetName val="DEP_C2001"/>
      <sheetName val="10-1_Media1"/>
      <sheetName val="FY04_budget_vol1"/>
      <sheetName val="_IB-PL-00-01_SUMMARY1"/>
      <sheetName val="Call_Down_Data_OLD1"/>
      <sheetName val="Assumption_Data1"/>
      <sheetName val="BL_-_GL_-_RJ1"/>
      <sheetName val="1020_FF1"/>
      <sheetName val="T&amp;E_GL1"/>
      <sheetName val="T&amp;E_System1"/>
      <sheetName val="_IBPL00011"/>
      <sheetName val="FY02_Fcst1"/>
      <sheetName val="Drop_Down_Lists1"/>
      <sheetName val="CAPEX_Import1"/>
      <sheetName val="Rates_Table1"/>
      <sheetName val="lgth_adj_fine1"/>
      <sheetName val="Gauge_Accuracy1"/>
      <sheetName val="Drop_Down1"/>
      <sheetName val="Raw_Mat1"/>
      <sheetName val="AUDIT_FEE1"/>
      <sheetName val="Thai_better_foods1"/>
      <sheetName val="Cross_Ref1"/>
      <sheetName val="Base_Rental1"/>
      <sheetName val="DEP_C20011"/>
      <sheetName val="Original"/>
      <sheetName val="Record CR"/>
      <sheetName val="deals above 20k"/>
      <sheetName val="Detail"/>
      <sheetName val="CUSTOM"/>
      <sheetName val="CustList"/>
      <sheetName val="CAPEX and HO"/>
      <sheetName val="CASH GRAPHS"/>
      <sheetName val="EBIT GRAPHS"/>
      <sheetName val="Dollar DOI"/>
      <sheetName val="Safety"/>
      <sheetName val="04.06.07_NO VENCIDO"/>
      <sheetName val="TO - SP"/>
      <sheetName val="Stock Aging"/>
      <sheetName val="DAY"/>
      <sheetName val="Co.26 Unfinished P&amp;E"/>
      <sheetName val="Vol del"/>
      <sheetName val="CPC form"/>
      <sheetName val="Dec 2001"/>
      <sheetName val="SKA"/>
      <sheetName val="H"/>
      <sheetName val="CF (Company only)"/>
      <sheetName val="VALAS"/>
      <sheetName val="TOTAL"/>
      <sheetName val="SPART"/>
      <sheetName val="PACK"/>
      <sheetName val="LOKALEXP"/>
      <sheetName val="EXPPART"/>
      <sheetName val="KOMLOK"/>
      <sheetName val="SUPPLIES"/>
      <sheetName val="SA"/>
      <sheetName val="KAR"/>
      <sheetName val="ACCES"/>
      <sheetName val="SERV"/>
      <sheetName val="NONPPL"/>
      <sheetName val="Sheet11"/>
      <sheetName val="Macro5"/>
      <sheetName val="wch"/>
      <sheetName val="TrialBalance_Q3-2002"/>
      <sheetName val="Trial_Balance"/>
      <sheetName val="VariableII__period"/>
      <sheetName val="SCB_1_-_Current"/>
      <sheetName val="SCB_2_-_Current"/>
      <sheetName val="Market_Segment"/>
      <sheetName val="Owner_Unit"/>
      <sheetName val="vendor_name"/>
      <sheetName val="Content_Page"/>
      <sheetName val="Elim_Seg_LM"/>
      <sheetName val="Elim_Seg_BM"/>
      <sheetName val="Elim_Seg_AM"/>
      <sheetName val="Table_Array"/>
      <sheetName val="On hand - 31 Mar 03"/>
      <sheetName val="Saptco00"/>
      <sheetName val="COMPUTER HARDWARE(IFM)_(A)"/>
      <sheetName val="MHK"/>
      <sheetName val="summary of used bits"/>
      <sheetName val="Mapping table"/>
      <sheetName val="DEMO"/>
      <sheetName val="feb"/>
      <sheetName val="DropDown"/>
      <sheetName val="ARTT"/>
      <sheetName val="PRICE LIST MASTER"/>
      <sheetName val="Freight"/>
      <sheetName val="Input Price"/>
      <sheetName val="SPC"/>
      <sheetName val="Main Model"/>
      <sheetName val="FSST"/>
      <sheetName val="#ofclose"/>
      <sheetName val="Month v YTD"/>
      <sheetName val="ASSET339"/>
      <sheetName val="Project Detail "/>
      <sheetName val="97년추정손익계산서"/>
      <sheetName val="設計通知"/>
      <sheetName val="Metals"/>
      <sheetName val="Addition_AUC"/>
      <sheetName val="98FORECAST (1)"/>
      <sheetName val="Loan_Data"/>
      <sheetName val="Map"/>
      <sheetName val="Sheet3"/>
      <sheetName val="FS"/>
      <sheetName val="TB-Circuit ONE -12"/>
      <sheetName val="Trial_Balance1"/>
      <sheetName val="Loan_Data1"/>
      <sheetName val="DataLookups"/>
      <sheetName val=" IB-PL-YTD"/>
      <sheetName val="recon"/>
      <sheetName val="Account List"/>
      <sheetName val="Company codes"/>
      <sheetName val="conso46"/>
      <sheetName val="JV"/>
      <sheetName val="Purchases"/>
      <sheetName val="Scenarios"/>
      <sheetName val="Revenue"/>
      <sheetName val="ต้นฉบับ"/>
      <sheetName val="TEST"/>
      <sheetName val="NAR-Pistons (2)"/>
      <sheetName val="TAUX MONNAIES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Sheet1"/>
      <sheetName val="D002A-10L"/>
      <sheetName val="Blad1"/>
      <sheetName val="B131 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제조1부1과 현황 "/>
      <sheetName val="공정 부품품질 현황"/>
      <sheetName val="공정불량율 현황"/>
      <sheetName val="년도별"/>
      <sheetName val="2006공불"/>
      <sheetName val="기구"/>
      <sheetName val="사출"/>
      <sheetName val="전장"/>
      <sheetName val="월공불"/>
      <sheetName val="SQCI"/>
      <sheetName val="공불순위"/>
      <sheetName val="01월ROW"/>
      <sheetName val="02월ROW"/>
      <sheetName val="03월ROW"/>
      <sheetName val="04월ROW"/>
      <sheetName val="05월ROW"/>
      <sheetName val="06월ROW"/>
      <sheetName val="07월ROW"/>
      <sheetName val="数据"/>
      <sheetName val="ADJ - RATE"/>
      <sheetName val="ตั๋วเงินรับ"/>
      <sheetName val="ELEC45-01"/>
      <sheetName val="Bla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terial data list"/>
      <sheetName val="Material std&amp;cutsize cost"/>
      <sheetName val="BOM &amp; cycle time"/>
      <sheetName val="เงินกู้ธนชาติ"/>
      <sheetName val="สรุปรายงานการคำนวณ WIP แยกแผนก"/>
      <sheetName val="BOM"/>
      <sheetName val="เงินกู้ MGC"/>
      <sheetName val="B131 "/>
      <sheetName val="SCB 1 - Current"/>
      <sheetName val="SCB 2 - Current"/>
      <sheetName val="ตั๋วเงินรับ"/>
    </sheetNames>
    <definedNames>
      <definedName name="NCode" sheetId="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T components (2)"/>
      <sheetName val="Cena EUR"/>
      <sheetName val="H56"/>
      <sheetName val="MAT components"/>
      <sheetName val="MAT components January"/>
      <sheetName val="MAT components DAI"/>
      <sheetName val="Plast parts"/>
      <sheetName val="October_2000"/>
      <sheetName val="January_2001"/>
      <sheetName val="January_2001 with MOD target"/>
      <sheetName val="Margin DAI"/>
      <sheetName val="version2"/>
      <sheetName val="MAT components (3)"/>
      <sheetName val="H56LHD GRAF"/>
      <sheetName val="H56LHD PTC_G"/>
      <sheetName val="H56RHD_G"/>
      <sheetName val="H56RHD PTC_G"/>
      <sheetName val="H56LHD"/>
      <sheetName val="H56LHD_PTC"/>
      <sheetName val="H56RHD"/>
      <sheetName val="H56RHD_PTC"/>
      <sheetName val="Comments0900"/>
      <sheetName val="Comments 1000"/>
      <sheetName val="Material data list"/>
      <sheetName val="สรุปรายงานการคำนวณ WIP แยกแผนก"/>
      <sheetName val="เงินกู้ธนชาติ"/>
      <sheetName val="ADJ - RATE"/>
      <sheetName val="BOM"/>
      <sheetName val="设计BOM"/>
      <sheetName val="B13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O2-2024-056-0002-4 KY-15 A007C"/>
      <sheetName val="PO2-2024-052-0013-3 KY-20 A007M"/>
      <sheetName val="PO2-2024-056-0005-3 KYR-23 A007"/>
      <sheetName val="PO1-2024-055-9999  A007D-05C"/>
      <sheetName val="PO1-2024-099-0011 A007E-05C EU"/>
      <sheetName val="PO1-2023-113-1001-1A007E TW"/>
      <sheetName val="PO2-2024-043-1013 A007G-05C"/>
      <sheetName val="PO1-2024-300-0002 A007G-07C EU"/>
      <sheetName val="PO1-2024-099-0001 A007E-07CWIFI"/>
      <sheetName val="PO2-2024-043-1016 A007G-09C"/>
      <sheetName val="PO1-2024-071-0001 A007L-09C"/>
      <sheetName val="PO1-2024-014-0009 A018I-09C EU"/>
      <sheetName val="PO1-2024-012-0036A018D-09CA+双层"/>
      <sheetName val="PS1-2024-099-0012 A018F-12C WIF"/>
      <sheetName val="PO1-2024-012-0038 A018D-12C"/>
      <sheetName val="PO1-2024-142-0006A018I-12CHA+"/>
      <sheetName val="PO1-2024-222-1009 A018E-14CH"/>
      <sheetName val="PO1-2024-063-0046 A018I-09C A+ "/>
      <sheetName val="PO1-2024-055-0020 A018C-09CH A+"/>
      <sheetName val="A020-5C CEC"/>
      <sheetName val="A020-6C CEC"/>
      <sheetName val="A020-8C CEC"/>
      <sheetName val="A020-8C CEC 降本"/>
      <sheetName val="A020-10C CEC"/>
      <sheetName val="A027A-05C "/>
      <sheetName val="A027A-07C"/>
      <sheetName val="A027A-07CH"/>
      <sheetName val="A027-09C 1+2 "/>
      <sheetName val="A027-09C 2+2"/>
      <sheetName val="A027-09C A+"/>
      <sheetName val="A027-12C"/>
      <sheetName val="A027A-12CH"/>
      <sheetName val="A027F-05C DOE"/>
      <sheetName val="A027F-06C DOE"/>
      <sheetName val="A027F-08C DOE"/>
      <sheetName val="A027F-10C DOE "/>
      <sheetName val="A027A-10C D0E变频"/>
      <sheetName val="PO1-2024-093-0002 A025A-09C"/>
      <sheetName val=" PO1-2024-093-0003 A025A-12C"/>
      <sheetName val="PO1-2024-062-1009 A023A-9CH"/>
      <sheetName val="PO1-2024-062-1010 A023A-12CH"/>
      <sheetName val="PO1-2024-062-1034 A023A-14CH"/>
      <sheetName val="PO1-2024-224-0003 A023A-08CDOE "/>
      <sheetName val="A023A-CEC 10CH 定频双管5.30"/>
      <sheetName val="A023A-CEC 12CH 变频 双风管5.30"/>
      <sheetName val="PO1-2024-291-0001 W003中国"/>
      <sheetName val="PO1-2024-291-0002 W005中国"/>
      <sheetName val="PO1-2024-291-0013-1中国W006A-08C"/>
      <sheetName val="PO1-2024-291-0014 中国W006A-10C"/>
      <sheetName val="PO1-2024-291-0015 中国W006A-12C"/>
      <sheetName val="成本BOM_DIY"/>
      <sheetName val="采购订单序时簿"/>
      <sheetName val="BOM"/>
      <sheetName val="PO4_2025_291_0004采购订单序时簿"/>
      <sheetName val="PF2_2023_988_2001_1"/>
      <sheetName val="KS_PP2304_0008_A025_0364"/>
      <sheetName val="K-5"/>
      <sheetName val="ADJ -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研发控制流程"/>
      <sheetName val="研发流程图（试行）"/>
      <sheetName val="新产品立项申请表"/>
      <sheetName val="初步BOM及投入"/>
      <sheetName val="新产品立项申请表 (总监签字)"/>
      <sheetName val="设计任务"/>
      <sheetName val="WBS分解"/>
      <sheetName val="项目启动会"/>
      <sheetName val="设计方案"/>
      <sheetName val="评审报告"/>
      <sheetName val="产品图"/>
      <sheetName val="过程图"/>
      <sheetName val="设计BOM"/>
      <sheetName val="新旧零部件分解跟踪表"/>
      <sheetName val="测试汇总清单（评价中心）"/>
      <sheetName val="设计变更点、验证方法"/>
      <sheetName val="技术协议"/>
      <sheetName val="技术评审规范"/>
      <sheetName val="零部件确认"/>
      <sheetName val="不符合项汇总及整改"/>
      <sheetName val="4.手板项目申报表（待定）"/>
      <sheetName val="5.新产品项目开发新增零部件汇总表（待定）"/>
      <sheetName val="7.物料清单BOM（待定）"/>
      <sheetName val="8.产品性能参数表V1（待定）"/>
      <sheetName val="10.模具意向申报表"/>
      <sheetName val="11.零部件确认书"/>
      <sheetName val="13.作业指导书"/>
      <sheetName val="14.产品设计失效模式及影响分析(DFMEA)"/>
      <sheetName val="项目分类-周期"/>
      <sheetName val="Sheet1"/>
      <sheetName val="成本BOM_DIY"/>
      <sheetName val="KS_PP2304_0008_A025_0364"/>
      <sheetName val="PF2_2023_988_2001_1"/>
      <sheetName val="PO1-2025-235-0002-A018A-12C A+ "/>
      <sheetName val="采购订单序时簿"/>
      <sheetName val="明细分类账"/>
      <sheetName val="D002A-10L"/>
      <sheetName val="Trial Balance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2"/>
      <sheetName val="MAT components"/>
      <sheetName val="Material data list"/>
      <sheetName val="เงินกู้ธนชาติ"/>
      <sheetName val="08"/>
      <sheetName val="Sheet1"/>
      <sheetName val="INVEN-SHT"/>
      <sheetName val="K-5"/>
      <sheetName val="Trial Balance"/>
      <sheetName val="% SATIŞ"/>
      <sheetName val="BOM.EXSM"/>
      <sheetName val="设计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08"/>
      <sheetName val="2"/>
      <sheetName val="เงินกู้ธนชาติ"/>
      <sheetName val="BOM.EXSM"/>
      <sheetName val="Material data list"/>
      <sheetName val="MAT components"/>
      <sheetName val="공정불량율 현황"/>
      <sheetName val="Trial Balance"/>
      <sheetName val="ตั๋วเงินรับ"/>
      <sheetName val="Machine rates"/>
      <sheetName val="PartVerCost"/>
      <sheetName val="VerQty"/>
      <sheetName val="เงินกู้ MGC"/>
      <sheetName val="K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OH 2008"/>
      <sheetName val="access"/>
      <sheetName val="DL."/>
      <sheetName val="Forcast"/>
      <sheetName val="time production 1"/>
      <sheetName val="time production 2"/>
      <sheetName val="t4300"/>
      <sheetName val="t4130"/>
      <sheetName val="t3530(1)"/>
      <sheetName val="T3530(2)"/>
      <sheetName val="W455H"/>
      <sheetName val="EXSM280"/>
      <sheetName val="new product"/>
      <sheetName val="Sheet2"/>
      <sheetName val="Sheet3"/>
      <sheetName val="08"/>
      <sheetName val="Material data list"/>
      <sheetName val="2"/>
      <sheetName val="เงินกู้ธนชาติ"/>
      <sheetName val="BOM.EXSM"/>
      <sheetName val="B131 "/>
      <sheetName val="ตั๋วเงินรับ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TB-2001-Renovate-Wrong"/>
      <sheetName val="TB-2001-Apr'01"/>
      <sheetName val="TB-2001-Revised"/>
      <sheetName val="TrialBalance Q3-2002"/>
      <sheetName val="2"/>
      <sheetName val="MAT components"/>
      <sheetName val="เงินกู้ธนชาติ"/>
      <sheetName val="เงินกู้ MGC"/>
      <sheetName val="ADJ - RATE"/>
      <sheetName val="Blad1"/>
      <sheetName val="Invoice"/>
      <sheetName val="BOM.EX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REC"/>
      <sheetName val="SAD"/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Balance Q3-2002"/>
      <sheetName val="TB010307..310307"/>
      <sheetName val="TB-MAR07(NET)"/>
      <sheetName val="TrialBalance Q3_2002"/>
      <sheetName val="TB-2001-Apr'01"/>
      <sheetName val="ELEC45-01"/>
      <sheetName val="08"/>
      <sheetName val="2"/>
      <sheetName val="ตั๋วเงินรับ"/>
      <sheetName val="K-5"/>
      <sheetName val="Invoice"/>
      <sheetName val="เงินกู้ธนชาติ"/>
      <sheetName val="เงินกู้ M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ANK"/>
      <sheetName val="LEVEL &amp; SALARY HIERACHY"/>
      <sheetName val="ข้อมูลการปรับ Prodution"/>
      <sheetName val="ข้อมูลการปรับ OFFICE"/>
      <sheetName val="ข้อมูลการปรับ Market"/>
      <sheetName val="ข้อมูลการปรับ   QA"/>
      <sheetName val="ข้อมูลการปรับ ENG"/>
      <sheetName val="TOTAL"/>
      <sheetName val="Material data list"/>
      <sheetName val="TrialBalance Q3-2002"/>
      <sheetName val="new product"/>
      <sheetName val="เงินกู้ธนชาติ"/>
      <sheetName val="08"/>
      <sheetName val="Invoice"/>
      <sheetName val="Trial Balance"/>
      <sheetName val="VariableII  period"/>
      <sheetName val="ตั๋วเงินรั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Trial Balance"/>
      <sheetName val="Trial Balance (Old)"/>
      <sheetName val="SCB 1 - Current"/>
      <sheetName val="SCB 2 - Current"/>
      <sheetName val="ตั๋วเงินรับ"/>
      <sheetName val="new product"/>
      <sheetName val="Invoice"/>
      <sheetName val="BOM.EXSM"/>
      <sheetName val="% SATI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lead"/>
      <sheetName val="Cash&amp;Bank"/>
      <sheetName val="Account Receivable"/>
      <sheetName val="Inventories"/>
      <sheetName val="Other CA"/>
      <sheetName val="Investment"/>
      <sheetName val="Intercompany"/>
      <sheetName val="Other assets"/>
      <sheetName val="Fixed assets"/>
      <sheetName val="Account payable"/>
      <sheetName val="Other CL"/>
      <sheetName val="Other liabilities"/>
      <sheetName val="Equities"/>
      <sheetName val="Profit&amp;Loss"/>
      <sheetName val="Income"/>
      <sheetName val="Other income"/>
      <sheetName val="Cost of service"/>
      <sheetName val="Selling &amp; admin"/>
      <sheetName val="Interest exp."/>
      <sheetName val="2002"/>
      <sheetName val="2001"/>
      <sheetName val="Trial Balance"/>
      <sheetName val="31.12.04"/>
      <sheetName val="part-import"/>
      <sheetName val="TrialBalance Q3-2002"/>
      <sheetName val="RANK"/>
      <sheetName val="TB"/>
      <sheetName val="ยานพาหนะ"/>
      <sheetName val="TB-2001-Apr'01"/>
      <sheetName val="VariableII  period"/>
      <sheetName val="เงินกู้ธนชาติ"/>
      <sheetName val="เงินกู้ MGC"/>
      <sheetName val="ADJ - RATE"/>
      <sheetName val="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11A-14CH"/>
      <sheetName val="D013C-20L项目里程碑"/>
      <sheetName val="% SATIŞ"/>
      <sheetName val="Blad1"/>
      <sheetName val="เงินกู้ MGC"/>
      <sheetName val="VariableII  peri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BS Forecast"/>
      <sheetName val="Milestones"/>
      <sheetName val="Module 1 - Process Overview"/>
      <sheetName val="Module 2 - Initiate Proj"/>
      <sheetName val="Module 3 - Put Plan Together"/>
      <sheetName val="Module 4 - Manage The Proj"/>
      <sheetName val="Module 5 - Close Proj"/>
      <sheetName val="TB-2001-Apr'01"/>
      <sheetName val="Trial Balance"/>
      <sheetName val="TrialBalance Q3-2002"/>
      <sheetName val="ADJ - RATE"/>
      <sheetName val="ตั๋วเงินรับ"/>
      <sheetName val="เงินกู้ธนชาติ"/>
      <sheetName val="% SATI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um lead"/>
      <sheetName val="C-Cash&amp;Bank"/>
      <sheetName val="E-Accounts Receivable "/>
      <sheetName val="F-Inventory "/>
      <sheetName val="G-Other CA"/>
      <sheetName val="H-Investment"/>
      <sheetName val="I-Intercompany"/>
      <sheetName val="J-Other Assets"/>
      <sheetName val="K-Fixed Asset"/>
      <sheetName val="M-Accounts Payable"/>
      <sheetName val="N-Other CL"/>
      <sheetName val="Q-Other Liabilities"/>
      <sheetName val="T-Equity"/>
      <sheetName val="U-Profit&amp;Loss"/>
      <sheetName val="U-Service Income"/>
      <sheetName val="U-Other Income"/>
      <sheetName val="U-Cost of Service"/>
      <sheetName val="U-Selling&amp;Admin"/>
      <sheetName val="U-Interest Exp"/>
      <sheetName val="TB"/>
      <sheetName val="รหัสเก่า"/>
      <sheetName val="เงินกู้ MGC"/>
      <sheetName val="TrialBalance Q3-2002"/>
      <sheetName val="RANK"/>
      <sheetName val="Invoice"/>
      <sheetName val="Trial Balance"/>
      <sheetName val="เงินกู้ธนชาติ"/>
      <sheetName val="ADJ -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onso&amp;cash flow"/>
      <sheetName val="conso-PL"/>
      <sheetName val="asimar cf"/>
      <sheetName val="conso cf "/>
      <sheetName val="eliminate_BS"/>
      <sheetName val="eliminate_PL"/>
      <sheetName val="BS"/>
      <sheetName val="PL"/>
      <sheetName val="pending"/>
      <sheetName val="PM &amp; TE-calculation"/>
      <sheetName val="REC"/>
      <sheetName val="SAD"/>
      <sheetName val="ADJ"/>
      <sheetName val="Sum lead"/>
      <sheetName val="C-Cash&amp;Bank"/>
      <sheetName val="E-Accounts Receivable"/>
      <sheetName val="F-Inventory"/>
      <sheetName val="G-Other CA"/>
      <sheetName val="H-Investment"/>
      <sheetName val="H-3"/>
      <sheetName val="I-Intercompany"/>
      <sheetName val="J-Other Assets"/>
      <sheetName val="K-Fixed Asset"/>
      <sheetName val="M-Accounts Payable"/>
      <sheetName val="N-Other CL"/>
      <sheetName val="Q-Other Liabilities"/>
      <sheetName val="Q-3"/>
      <sheetName val="T-Equity"/>
      <sheetName val="U-Profit&amp;Loss"/>
      <sheetName val="U-1.1_GP by Seg"/>
      <sheetName val="U-Service Income"/>
      <sheetName val="U-Other Income"/>
      <sheetName val="U-Cost of Service"/>
      <sheetName val="U-4-1"/>
      <sheetName val="U-Selling&amp;Admin"/>
      <sheetName val="U-Interest Exp"/>
      <sheetName val="Trial Balance"/>
      <sheetName val="TB"/>
      <sheetName val="เงินกู้ MGC"/>
      <sheetName val="2002"/>
      <sheetName val="Wkgs_BS Lead"/>
      <sheetName val="C-3"/>
      <sheetName val="DEP12"/>
      <sheetName val="เงินกู้ธนชาติ"/>
      <sheetName val="TrialBalance Q3-2002"/>
      <sheetName val="V310"/>
      <sheetName val="Approved Renov Payment Schedule"/>
      <sheetName val="Input_Undue"/>
      <sheetName val="Deposit_Other"/>
      <sheetName val="U-5"/>
      <sheetName val="K-1A"/>
      <sheetName val="Cashflow"/>
      <sheetName val="Exp"/>
      <sheetName val="PA"/>
      <sheetName val="노무비"/>
      <sheetName val="Tiers"/>
      <sheetName val="ตั๋วเงินรับ"/>
      <sheetName val="Data Salary"/>
      <sheetName val="Macro1"/>
      <sheetName val="KPI48"/>
      <sheetName val="Masterประเภท"/>
      <sheetName val="10-1 Media"/>
      <sheetName val="10-cut"/>
      <sheetName val="input"/>
      <sheetName val="code"/>
      <sheetName val="conso&amp;cash_flow"/>
      <sheetName val="asimar_cf"/>
      <sheetName val="conso_cf_"/>
      <sheetName val="PM_&amp;_TE-calculation"/>
      <sheetName val="Sum_lead"/>
      <sheetName val="E-Accounts_Receivable"/>
      <sheetName val="G-Other_CA"/>
      <sheetName val="J-Other_Assets"/>
      <sheetName val="K-Fixed_Asset"/>
      <sheetName val="M-Accounts_Payable"/>
      <sheetName val="N-Other_CL"/>
      <sheetName val="Q-Other_Liabilities"/>
      <sheetName val="U-1_1_GP_by_Seg"/>
      <sheetName val="U-Service_Income"/>
      <sheetName val="U-Other_Income"/>
      <sheetName val="U-Cost_of_Service"/>
      <sheetName val="U-Interest_Exp"/>
      <sheetName val="Trial_Balance"/>
      <sheetName val="เงินกู้_MGC"/>
      <sheetName val="TB-BAC"/>
      <sheetName val=""/>
      <sheetName val="trfc02-26(Fes+Ses)"/>
      <sheetName val="BS ATTACH"/>
      <sheetName val="S001"/>
      <sheetName val=" IB-PL-YTD"/>
      <sheetName val="CostCtr"/>
      <sheetName val="Legal"/>
      <sheetName val="acc.depre-report-old"/>
      <sheetName val="Assumptions"/>
      <sheetName val="conso&amp;cash_flow1"/>
      <sheetName val="asimar_cf1"/>
      <sheetName val="conso_cf_1"/>
      <sheetName val="PM_&amp;_TE-calculation1"/>
      <sheetName val="Sum_lead1"/>
      <sheetName val="E-Accounts_Receivable1"/>
      <sheetName val="G-Other_CA1"/>
      <sheetName val="J-Other_Assets1"/>
      <sheetName val="K-Fixed_Asset1"/>
      <sheetName val="M-Accounts_Payable1"/>
      <sheetName val="N-Other_CL1"/>
      <sheetName val="Q-Other_Liabilities1"/>
      <sheetName val="U-1_1_GP_by_Seg1"/>
      <sheetName val="U-Service_Income1"/>
      <sheetName val="U-Other_Income1"/>
      <sheetName val="U-Cost_of_Service1"/>
      <sheetName val="U-Interest_Exp1"/>
      <sheetName val="Trial_Balance1"/>
      <sheetName val="เงินกู้_MGC1"/>
      <sheetName val="Approved_Renov_Payment_Schedule"/>
      <sheetName val="TrialBalance_Q3-2002"/>
      <sheetName val="Wkgs_BS_Lead"/>
      <sheetName val="Data_Salary"/>
      <sheetName val="10-1_Media"/>
      <sheetName val="_IB-PL-YTD"/>
      <sheetName val="BS_ATTACH"/>
      <sheetName val="acc_depre-report-old"/>
      <sheetName val="BUILD95"/>
      <sheetName val="workbook control"/>
      <sheetName val="Month v YTD"/>
      <sheetName val="I-203"/>
      <sheetName val="securities movement"/>
      <sheetName val="Worksheet"/>
      <sheetName val="securities_movement"/>
      <sheetName val="TrialBalance_Q3-20021"/>
      <sheetName val="Approved_Renov_Payment_Schedul1"/>
      <sheetName val="Wkgs_BS_Lead1"/>
      <sheetName val="Data_Salary1"/>
      <sheetName val="10-1_Media1"/>
      <sheetName val="Trial_Balance2"/>
      <sheetName val="conso&amp;cash_flow2"/>
      <sheetName val="asimar_cf2"/>
      <sheetName val="conso_cf_2"/>
      <sheetName val="PM_&amp;_TE-calculation2"/>
      <sheetName val="Sum_lead2"/>
      <sheetName val="E-Accounts_Receivable2"/>
      <sheetName val="G-Other_CA2"/>
      <sheetName val="J-Other_Assets2"/>
      <sheetName val="K-Fixed_Asset2"/>
      <sheetName val="M-Accounts_Payable2"/>
      <sheetName val="N-Other_CL2"/>
      <sheetName val="Q-Other_Liabilities2"/>
      <sheetName val="U-1_1_GP_by_Seg2"/>
      <sheetName val="U-Service_Income2"/>
      <sheetName val="U-Other_Income2"/>
      <sheetName val="U-Cost_of_Service2"/>
      <sheetName val="U-Interest_Exp2"/>
      <sheetName val="TrialBalance_Q3-20022"/>
      <sheetName val="เงินกู้_MGC2"/>
      <sheetName val="Approved_Renov_Payment_Schedul2"/>
      <sheetName val="Wkgs_BS_Lead2"/>
      <sheetName val="Data_Salary2"/>
      <sheetName val="10-1_Media2"/>
      <sheetName val="Trial_Balance3"/>
      <sheetName val="conso&amp;cash_flow3"/>
      <sheetName val="asimar_cf3"/>
      <sheetName val="conso_cf_3"/>
      <sheetName val="PM_&amp;_TE-calculation3"/>
      <sheetName val="Sum_lead3"/>
      <sheetName val="E-Accounts_Receivable3"/>
      <sheetName val="G-Other_CA3"/>
      <sheetName val="J-Other_Assets3"/>
      <sheetName val="K-Fixed_Asset3"/>
      <sheetName val="M-Accounts_Payable3"/>
      <sheetName val="N-Other_CL3"/>
      <sheetName val="Q-Other_Liabilities3"/>
      <sheetName val="U-1_1_GP_by_Seg3"/>
      <sheetName val="U-Service_Income3"/>
      <sheetName val="U-Other_Income3"/>
      <sheetName val="U-Cost_of_Service3"/>
      <sheetName val="U-Interest_Exp3"/>
      <sheetName val="TrialBalance_Q3-20023"/>
      <sheetName val="เงินกู้_MGC3"/>
      <sheetName val="Approved_Renov_Payment_Schedul3"/>
      <sheetName val="Wkgs_BS_Lead3"/>
      <sheetName val="Data_Salary3"/>
      <sheetName val="10-1_Media3"/>
      <sheetName val="SBM DATA"/>
      <sheetName val="Hidden"/>
      <sheetName val="Invoice"/>
      <sheetName val="D002A-10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4-291-0001 W003 6C"/>
      <sheetName val="PO3-2024-291-0029-2"/>
      <sheetName val="KS_PP2304_0008_A025_0364"/>
      <sheetName val="2002"/>
      <sheetName val="เงินกู้ธนชาติ"/>
      <sheetName val="VariableII  period"/>
      <sheetName val="相关方管理"/>
      <sheetName val="dataX"/>
      <sheetName val="图表数据源"/>
      <sheetName val="风险管理"/>
      <sheetName val="项目时间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D002A-10L"/>
      <sheetName val="D002A-12L"/>
      <sheetName val="D002A-16L"/>
      <sheetName val="D008A-20L"/>
      <sheetName val="D008A-30L"/>
      <sheetName val="A027A-07C (2)"/>
      <sheetName val="A027A-09C"/>
      <sheetName val="A027-12C"/>
      <sheetName val="A027-14C "/>
      <sheetName val="采购订单序时簿"/>
      <sheetName val="设计BOM"/>
      <sheetName val="A027E-12CH 20241106"/>
      <sheetName val="A027E-12C 20241106"/>
      <sheetName val="A027E-09C 20241106"/>
      <sheetName val="A027E-07C 20241106"/>
      <sheetName val="A027A-07C"/>
      <sheetName val="A027-09C 2抽U+2 "/>
      <sheetName val="A027-12C (2)"/>
      <sheetName val="KS_PP2304_0008_A025_0364"/>
      <sheetName val="明细分类账"/>
      <sheetName val="成本BOM_DIY"/>
      <sheetName val="เงินกู้ธนชาต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18D-09C-PLUS"/>
      <sheetName val="相关方管理"/>
      <sheetName val="dataX"/>
      <sheetName val="图表数据源"/>
      <sheetName val="风险管理"/>
      <sheetName val="项目时间线"/>
      <sheetName val="% SATIŞ"/>
      <sheetName val="공정불량율 현황"/>
      <sheetName val="D002A-10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KS_PP2304_0008_A025_0364"/>
      <sheetName val="Sheet1"/>
      <sheetName val="成本BOM_DIY"/>
      <sheetName val="电控供应商汇总"/>
      <sheetName val="采购订单序时簿"/>
      <sheetName val="2"/>
      <sheetName val="08"/>
      <sheetName val="PO1-2024-176-0008中国A020A-12C"/>
      <sheetName val="PO3-2024-176-0017 A020A-12C印尼"/>
      <sheetName val="PO1-2024-291-0001 W003中国"/>
      <sheetName val="PO3-2024-291-0006 W003印尼"/>
      <sheetName val="PO1-2024-291-0007 W005中国"/>
      <sheetName val="PO3-2024-291-0007 W005印尼"/>
      <sheetName val="PO1-2024-291-0018-1 中国"/>
      <sheetName val="PO3-2024-291-0029-2 印尼"/>
      <sheetName val="印尼驻场费用"/>
      <sheetName val="财务对账数据-实际发生"/>
      <sheetName val="实际发生出口费用"/>
      <sheetName val="费用明细"/>
      <sheetName val="成本费用汇总"/>
      <sheetName val="印尼费用-机型汇总"/>
      <sheetName val="4-6异常材料费"/>
      <sheetName val="滞港费、红包排产费"/>
      <sheetName val="ELEC45-01"/>
      <sheetName val="设计BOM"/>
      <sheetName val="D002A-10L"/>
      <sheetName val="A007D-07C"/>
      <sheetName val="明细分类账"/>
      <sheetName val="Material data list"/>
      <sheetName val="相关方管理"/>
      <sheetName val="dataX"/>
      <sheetName val="图表数据源"/>
      <sheetName val="风险管理"/>
      <sheetName val="项目时间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F2_2023_988_2001_1"/>
      <sheetName val="SBS Forecast"/>
      <sheetName val="공정불량율 현황"/>
      <sheetName val="ADJ - RATE"/>
      <sheetName val="MAT components"/>
      <sheetName val="KS_PP2304_0008_A025_03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Sheet1"/>
      <sheetName val="TB"/>
      <sheetName val="Material data list"/>
      <sheetName val="เงินกู้ MGC"/>
      <sheetName val="08"/>
      <sheetName val="공정불량율 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D013B-45L"/>
      <sheetName val="Trial Balance"/>
      <sheetName val="MAT components"/>
      <sheetName val="เงินกู้ธนชาติ"/>
      <sheetName val="% SATIŞ"/>
      <sheetName val="Material data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27D-07C WIFI"/>
      <sheetName val="PF2_2023_988_2001_1"/>
      <sheetName val="08"/>
      <sheetName val="공정불량율 현황"/>
      <sheetName val="Machine rates"/>
      <sheetName val="PartVerCost"/>
      <sheetName val="VerQty"/>
      <sheetName val="MAT compon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11A-18CH 带WIFI"/>
      <sheetName val="% SATIŞ"/>
      <sheetName val="相关方管理"/>
      <sheetName val="dataX"/>
      <sheetName val="图表数据源"/>
      <sheetName val="风险管理"/>
      <sheetName val="项目时间线"/>
      <sheetName val="new product"/>
      <sheetName val="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23A-12C 双风管变频"/>
      <sheetName val="Machine rates"/>
      <sheetName val="PartVerCost"/>
      <sheetName val="VerQty"/>
      <sheetName val="% SATIŞ"/>
      <sheetName val="TB-2001-Apr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3-2021-050-0009-D002B-5L"/>
      <sheetName val="BOM"/>
      <sheetName val="new product"/>
      <sheetName val="Material data list"/>
      <sheetName val="TrialBalance Q3-2002"/>
      <sheetName val="Machine rates"/>
      <sheetName val="PartVerCost"/>
      <sheetName val="Ver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S1-2025-050-0003-1 D016A-12L"/>
      <sheetName val="TB-2001-Apr'01"/>
      <sheetName val="MAT components"/>
      <sheetName val="PF2_2023_988_2001_1"/>
      <sheetName val="PO4_2025_291_0004采购订单序时簿"/>
      <sheetName val="总分类账-01"/>
      <sheetName val="new pro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S1-2025-260-1004D013C-30Lwifi "/>
      <sheetName val="PO1-2024-260-1008"/>
      <sheetName val="TrialBalance Q3-2002"/>
      <sheetName val="2"/>
      <sheetName val="KY-15 A007I"/>
      <sheetName val="TB-2001-Apr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PO2_2023_988_0082"/>
      <sheetName val="PL2-2024-056-0013"/>
      <sheetName val="PF2_2023_988_2001_1"/>
      <sheetName val="成本BOM_DIY"/>
      <sheetName val="KS_PP2304_0008_A025_0364"/>
      <sheetName val="08"/>
      <sheetName val="2"/>
      <sheetName val="总分类账-01"/>
      <sheetName val="销售台数"/>
      <sheetName val="电控供应商汇总"/>
      <sheetName val="Sheet1"/>
      <sheetName val="PO4_2025_291_0004采购订单序时簿"/>
      <sheetName val="设计BOM"/>
      <sheetName val="PO4_2025_291_0005采购订单序时簿"/>
      <sheetName val="A027-5K（北美）"/>
      <sheetName val="PO4_2025_291_0002采购订单序时簿"/>
      <sheetName val="TrialBalance Q3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furniture"/>
      <sheetName val="Blad1"/>
      <sheetName val="umbrella, gazebo"/>
      <sheetName val="Machine rates"/>
      <sheetName val="PartVerCost"/>
      <sheetName val="VerQty"/>
      <sheetName val="KY-15 A007I"/>
      <sheetName val="C-1"/>
      <sheetName val="BOM"/>
      <sheetName val="采购订单序时簿"/>
      <sheetName val="PF2_2023_988_2001_1"/>
      <sheetName val="成本BOM_DIY"/>
      <sheetName val="PO4_2025_291_0003采购订单序时簿"/>
      <sheetName val="PO4_2025_291_0004采购订单序时簿"/>
      <sheetName val="总分类账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W006A-10C 变频（泰国生产）"/>
      <sheetName val="PO4_2025_291_0005采购订单序时簿"/>
      <sheetName val="PO4_2025_291_0002采购订单序时簿"/>
      <sheetName val="PO4_2025_291_0007采购订单序时簿"/>
      <sheetName val="PO4_2025_291_0003采购订单序时簿"/>
      <sheetName val="KY-15 A007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W006A-12C 变频（泰国生产）"/>
      <sheetName val="PO4_2025_291_0004采购订单序时簿"/>
      <sheetName val="PO4_2025_291_0003采购订单序时簿"/>
      <sheetName val="PO4_2025_291_0002采购订单序时簿"/>
      <sheetName val="PO4_2025_291_0005采购订单序时簿"/>
      <sheetName val="PO4_2025_291_0007采购订单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27J-06C"/>
      <sheetName val="PO4_2025_291_0005采购订单序时簿"/>
      <sheetName val="设计BOM"/>
      <sheetName val="PO4_2025_291_0003采购订单序时簿"/>
      <sheetName val="D002A-10L"/>
      <sheetName val="PO4_2025_291_0002采购订单序时簿"/>
      <sheetName val="PO4_2025_291_0004采购订单序时簿"/>
      <sheetName val="明细分类账"/>
      <sheetName val="PO4_2025_291_0007采购订单序时簿"/>
      <sheetName val="R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W006A-08C 变频（泰国生产）"/>
      <sheetName val="PO4_2025_291_0003采购订单序时簿"/>
      <sheetName val="PO4_2025_291_0007采购订单序时簿"/>
      <sheetName val="KS_PP2304_0008_A025_0364"/>
      <sheetName val="PO4_2025_291_0002采购订单序时簿"/>
      <sheetName val="PF2_2023_988_2001_1"/>
      <sheetName val="Trial Balance"/>
      <sheetName val="PO4_2025_291_0005采购订单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A023A-09C-定频-单管"/>
      <sheetName val="RANK"/>
      <sheetName val="08"/>
      <sheetName val="2002"/>
      <sheetName val="PO4_2025_291_0007采购订单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5-062-0021-A023A-14CH"/>
      <sheetName val="BOM"/>
      <sheetName val="Trial Balance"/>
      <sheetName val="new product"/>
      <sheetName val="SBS Forecast"/>
      <sheetName val="R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4-062-1031-A023A-12CH"/>
      <sheetName val="2002"/>
      <sheetName val="TB-2001-Apr'01"/>
      <sheetName val="Blad1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5-188-0009 D015B-12L"/>
      <sheetName val="SBS Forecast"/>
      <sheetName val="TrialBalance Q3-2002"/>
      <sheetName val="TB"/>
      <sheetName val="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Sheet1"/>
      <sheetName val="Sheet2"/>
      <sheetName val="D002A-10L"/>
      <sheetName val="明细分类账"/>
      <sheetName val="Blad1"/>
      <sheetName val="Machine rates"/>
      <sheetName val="PartVerCost"/>
      <sheetName val="VerQty"/>
      <sheetName val="Trial Balance"/>
      <sheetName val="SBS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5-284-0009 D015B-10L"/>
      <sheetName val="TB"/>
      <sheetName val="RANK"/>
      <sheetName val="采购订单序时簿"/>
      <sheetName val="Bla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O1-2025-263-0007 D015B-16L"/>
      <sheetName val="Trial Balance"/>
      <sheetName val="TB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PO3-2024-291-0006"/>
      <sheetName val="采购订单序时簿"/>
      <sheetName val="BOM单"/>
      <sheetName val="KS_PP2304_0008_A025_0364"/>
      <sheetName val="成本BOM_DIY"/>
      <sheetName val="PF2_2023_988_2001_1"/>
      <sheetName val="BOM"/>
      <sheetName val="明细分类账"/>
      <sheetName val="D013C-20L项目里程碑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S1-2025-093-0034-A027J-07C"/>
      <sheetName val="PF2_2023_988_2001_1"/>
      <sheetName val="D013C-20L项目里程碑"/>
      <sheetName val="采购订单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D013C-20L项目里程碑"/>
      <sheetName val="D013C-20L项目WBS"/>
      <sheetName val="D013C-20L项目 WBS"/>
      <sheetName val="D013C-20L任务计划管理"/>
      <sheetName val="KS_PP2304_0008_A025_0364"/>
      <sheetName val="PF2_2023_988_2001_1"/>
      <sheetName val="A023A-12C 双管+变频"/>
      <sheetName val="明细分类账"/>
      <sheetName val="成本BOM_DI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D013C-20L项目里程碑"/>
      <sheetName val="D013C-20L项目WBS"/>
      <sheetName val="D013C-20L项目 WBS"/>
      <sheetName val="D013C-20L任务计划管理"/>
      <sheetName val="销售订单序时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2022 shipment detail"/>
      <sheetName val="2022-1"/>
      <sheetName val="Sheet1"/>
      <sheetName val="Sheet2"/>
      <sheetName val="Sheet3"/>
      <sheetName val="明细分类账"/>
      <sheetName val="成本BOM_DIY"/>
      <sheetName val="PF2_2023_988_2001_1"/>
      <sheetName val="PO4_2025_291_0004采购订单序时簿"/>
      <sheetName val="采购订单序时簿"/>
      <sheetName val="KS_PP2304_0008_A025_0364"/>
      <sheetName val="Sheet1 (2)"/>
      <sheetName val="D013C-20L项目里程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成本BOM_DIY"/>
      <sheetName val="PS2-2025-342-0001 D017E-6L"/>
      <sheetName val="销售订单序时簿"/>
      <sheetName val="BOM"/>
      <sheetName val="เงินกู้ธนชาติ"/>
      <sheetName val="PO4_2025_291_0005采购订单序时簿"/>
      <sheetName val="PO4_2025_291_0004采购订单序时簿"/>
      <sheetName val="PF2_2023_988_2001_1"/>
      <sheetName val="明细分类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5"/>
  <sheetViews>
    <sheetView showGridLines="0" tabSelected="1" zoomScale="70" zoomScaleNormal="70" topLeftCell="A47" workbookViewId="0">
      <selection activeCell="O11" sqref="O11"/>
    </sheetView>
  </sheetViews>
  <sheetFormatPr defaultColWidth="8.7962962962963" defaultRowHeight="14.4"/>
  <cols>
    <col min="1" max="1" width="8.7962962962963" style="81"/>
    <col min="2" max="2" width="14.0925925925926" style="81" customWidth="1"/>
    <col min="3" max="3" width="14.462962962963" style="81" customWidth="1"/>
    <col min="4" max="4" width="15.8425925925926" style="81" customWidth="1"/>
    <col min="5" max="5" width="13.1296296296296" style="81" customWidth="1"/>
    <col min="6" max="6" width="27.9166666666667" style="81" customWidth="1"/>
    <col min="7" max="7" width="16.462962962963" style="81" customWidth="1"/>
    <col min="8" max="9" width="8.7962962962963" style="81" customWidth="1"/>
    <col min="10" max="10" width="14.1111111111111" style="81" customWidth="1"/>
    <col min="11" max="12" width="5.66666666666667" style="81" customWidth="1"/>
    <col min="13" max="13" width="8.66666666666667" style="81" customWidth="1"/>
    <col min="14" max="14" width="16.4444444444444" style="81" customWidth="1"/>
    <col min="15" max="15" width="11.3333333333333" style="81" customWidth="1"/>
    <col min="16" max="16" width="9.66666666666667" style="81" customWidth="1"/>
    <col min="17" max="17" width="11.1111111111111" style="81" customWidth="1"/>
    <col min="18" max="18" width="11.1111111111111" style="85" customWidth="1"/>
    <col min="19" max="19" width="13.6574074074074" style="81"/>
    <col min="20" max="20" width="44.7962962962963" style="81" customWidth="1"/>
    <col min="21" max="21" width="5.2037037037037" style="81" customWidth="1"/>
    <col min="22" max="22" width="24.7962962962963" style="81" customWidth="1"/>
    <col min="23" max="23" width="10.462962962963" style="81" customWidth="1"/>
    <col min="24" max="24" width="12.8703703703704" style="81" customWidth="1"/>
    <col min="25" max="25" width="4.12962962962963" style="81" customWidth="1"/>
    <col min="26" max="26" width="17.3333333333333" style="81" customWidth="1"/>
    <col min="27" max="27" width="11.8703703703704" style="81" customWidth="1"/>
    <col min="28" max="28" width="11.1296296296296" style="81" customWidth="1"/>
    <col min="29" max="16384" width="8.7962962962963" style="81"/>
  </cols>
  <sheetData>
    <row r="1" s="81" customFormat="1" ht="38" customHeight="1" spans="1:27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7"/>
      <c r="S1" s="86"/>
      <c r="T1" s="86"/>
      <c r="U1" s="88"/>
    </row>
    <row r="2" s="81" customFormat="1" ht="27" customHeight="1" spans="1:27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  <c r="O2" s="91"/>
      <c r="P2" s="90"/>
      <c r="Q2" s="90"/>
      <c r="R2" s="92"/>
      <c r="S2" s="93"/>
      <c r="T2" s="94"/>
      <c r="U2" s="95"/>
      <c r="V2" s="82"/>
      <c r="W2" s="82"/>
      <c r="X2" s="96"/>
      <c r="Y2" s="97"/>
      <c r="Z2" s="97"/>
      <c r="AA2" s="98"/>
    </row>
    <row r="3" s="81" customFormat="1" ht="15.6" spans="1:27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100"/>
      <c r="S3" s="95"/>
      <c r="T3" s="95"/>
      <c r="U3" s="95"/>
      <c r="V3" s="82"/>
      <c r="W3" s="82"/>
      <c r="X3" s="82"/>
      <c r="Y3" s="97"/>
      <c r="Z3" s="97"/>
      <c r="AA3" s="98"/>
    </row>
    <row r="4" s="81" customFormat="1" ht="15.6" spans="1:27"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100"/>
      <c r="S4" s="95"/>
      <c r="T4" s="95"/>
      <c r="U4" s="95"/>
      <c r="V4" s="82"/>
      <c r="W4" s="82"/>
      <c r="X4" s="82"/>
      <c r="Y4" s="97"/>
      <c r="Z4" s="97"/>
      <c r="AA4" s="98"/>
    </row>
    <row r="5" s="82" customFormat="1" ht="25.8" customHeight="1" spans="1:27">
      <c r="A5" s="101" t="s">
        <v>1</v>
      </c>
      <c r="B5" s="101" t="s">
        <v>2</v>
      </c>
      <c r="C5" s="101" t="s">
        <v>3</v>
      </c>
      <c r="D5" s="101" t="s">
        <v>4</v>
      </c>
      <c r="E5" s="102" t="s">
        <v>5</v>
      </c>
      <c r="F5" s="102" t="s">
        <v>6</v>
      </c>
      <c r="G5" s="102" t="s">
        <v>7</v>
      </c>
      <c r="H5" s="101" t="s">
        <v>8</v>
      </c>
      <c r="I5" s="101" t="s">
        <v>9</v>
      </c>
      <c r="J5" s="101" t="s">
        <v>10</v>
      </c>
      <c r="K5" s="101" t="s">
        <v>11</v>
      </c>
      <c r="L5" s="101" t="s">
        <v>12</v>
      </c>
      <c r="M5" s="101" t="s">
        <v>13</v>
      </c>
      <c r="N5" s="101" t="s">
        <v>14</v>
      </c>
      <c r="O5" s="101" t="s">
        <v>15</v>
      </c>
      <c r="P5" s="102" t="s">
        <v>16</v>
      </c>
      <c r="Q5" s="103" t="s">
        <v>17</v>
      </c>
      <c r="R5" s="104" t="s">
        <v>18</v>
      </c>
      <c r="S5" s="101" t="s">
        <v>19</v>
      </c>
      <c r="U5" s="105"/>
      <c r="Y5" s="96"/>
      <c r="Z5" s="96"/>
      <c r="AA5" s="96"/>
    </row>
    <row r="6" s="81" customFormat="1" ht="24" customHeight="1" spans="1:27">
      <c r="A6" s="106">
        <v>1</v>
      </c>
      <c r="B6" s="18" t="s">
        <v>20</v>
      </c>
      <c r="C6" s="18" t="s">
        <v>21</v>
      </c>
      <c r="D6" s="34" t="s">
        <v>22</v>
      </c>
      <c r="E6" s="18" t="s">
        <v>23</v>
      </c>
      <c r="F6" s="18" t="s">
        <v>24</v>
      </c>
      <c r="G6" s="18" t="s">
        <v>25</v>
      </c>
      <c r="H6" s="18" t="s">
        <v>26</v>
      </c>
      <c r="I6" s="107" t="s">
        <v>25</v>
      </c>
      <c r="J6" s="107" t="s">
        <v>25</v>
      </c>
      <c r="K6" s="18" t="s">
        <v>27</v>
      </c>
      <c r="L6" s="26">
        <v>37</v>
      </c>
      <c r="M6" s="107">
        <f t="shared" ref="M6:M58" si="0">DATEDIF(Q6,DATE(2026,4,17),"Y")</f>
        <v>4</v>
      </c>
      <c r="N6" s="107">
        <f t="shared" ref="N6:N58" si="1">DATEDIF(Q6,DATE(2026,4,17),"YM")</f>
        <v>8</v>
      </c>
      <c r="O6" s="18" t="s">
        <v>21</v>
      </c>
      <c r="P6" s="18" t="s">
        <v>28</v>
      </c>
      <c r="Q6" s="108">
        <v>44419</v>
      </c>
      <c r="R6" s="108">
        <v>32382</v>
      </c>
      <c r="S6" s="109"/>
    </row>
    <row r="7" s="81" customFormat="1" ht="22.8" customHeight="1" spans="1:27">
      <c r="A7" s="106">
        <v>2</v>
      </c>
      <c r="B7" s="18" t="s">
        <v>29</v>
      </c>
      <c r="C7" s="18" t="s">
        <v>30</v>
      </c>
      <c r="D7" s="34" t="s">
        <v>22</v>
      </c>
      <c r="E7" s="18" t="s">
        <v>31</v>
      </c>
      <c r="F7" s="18" t="s">
        <v>32</v>
      </c>
      <c r="G7" s="18" t="s">
        <v>33</v>
      </c>
      <c r="H7" s="18" t="s">
        <v>34</v>
      </c>
      <c r="I7" s="18" t="s">
        <v>35</v>
      </c>
      <c r="J7" s="107" t="s">
        <v>36</v>
      </c>
      <c r="K7" s="18" t="s">
        <v>37</v>
      </c>
      <c r="L7" s="26">
        <v>25</v>
      </c>
      <c r="M7" s="107">
        <f t="shared" si="0"/>
        <v>4</v>
      </c>
      <c r="N7" s="107">
        <f t="shared" si="1"/>
        <v>2</v>
      </c>
      <c r="O7" s="18" t="s">
        <v>38</v>
      </c>
      <c r="P7" s="18" t="s">
        <v>39</v>
      </c>
      <c r="Q7" s="108">
        <v>44585</v>
      </c>
      <c r="R7" s="110">
        <v>36761</v>
      </c>
      <c r="S7" s="109"/>
    </row>
    <row r="8" s="81" customFormat="1" ht="24" customHeight="1" spans="1:27">
      <c r="A8" s="106">
        <v>3</v>
      </c>
      <c r="B8" s="18" t="s">
        <v>40</v>
      </c>
      <c r="C8" s="34" t="s">
        <v>41</v>
      </c>
      <c r="D8" s="34" t="s">
        <v>42</v>
      </c>
      <c r="E8" s="18" t="s">
        <v>43</v>
      </c>
      <c r="F8" s="18" t="s">
        <v>44</v>
      </c>
      <c r="G8" s="18" t="s">
        <v>45</v>
      </c>
      <c r="H8" s="18" t="s">
        <v>34</v>
      </c>
      <c r="I8" s="18" t="s">
        <v>35</v>
      </c>
      <c r="J8" s="111" t="s">
        <v>36</v>
      </c>
      <c r="K8" s="18" t="s">
        <v>27</v>
      </c>
      <c r="L8" s="26">
        <v>31</v>
      </c>
      <c r="M8" s="107">
        <f t="shared" si="0"/>
        <v>0</v>
      </c>
      <c r="N8" s="107">
        <f t="shared" si="1"/>
        <v>11</v>
      </c>
      <c r="O8" s="18" t="s">
        <v>38</v>
      </c>
      <c r="P8" s="18" t="s">
        <v>46</v>
      </c>
      <c r="Q8" s="108">
        <v>45770</v>
      </c>
      <c r="R8" s="110">
        <v>27492</v>
      </c>
      <c r="S8" s="106"/>
    </row>
    <row r="9" s="82" customFormat="1" ht="24" customHeight="1" spans="1:27">
      <c r="A9" s="106">
        <v>4</v>
      </c>
      <c r="B9" s="18" t="s">
        <v>47</v>
      </c>
      <c r="C9" s="34" t="s">
        <v>48</v>
      </c>
      <c r="D9" s="34" t="s">
        <v>42</v>
      </c>
      <c r="E9" s="18" t="s">
        <v>49</v>
      </c>
      <c r="F9" s="18" t="s">
        <v>50</v>
      </c>
      <c r="G9" s="18" t="s">
        <v>25</v>
      </c>
      <c r="H9" s="18" t="s">
        <v>26</v>
      </c>
      <c r="I9" s="18" t="s">
        <v>25</v>
      </c>
      <c r="J9" s="107" t="s">
        <v>25</v>
      </c>
      <c r="K9" s="18" t="s">
        <v>27</v>
      </c>
      <c r="L9" s="26">
        <v>43</v>
      </c>
      <c r="M9" s="107">
        <f t="shared" si="0"/>
        <v>4</v>
      </c>
      <c r="N9" s="107">
        <f t="shared" si="1"/>
        <v>8</v>
      </c>
      <c r="O9" s="18" t="s">
        <v>38</v>
      </c>
      <c r="P9" s="18" t="s">
        <v>46</v>
      </c>
      <c r="Q9" s="108">
        <v>44419</v>
      </c>
      <c r="R9" s="110">
        <v>29214</v>
      </c>
      <c r="S9" s="112"/>
      <c r="U9" s="113"/>
    </row>
    <row r="10" s="82" customFormat="1" ht="24" customHeight="1" spans="1:27">
      <c r="A10" s="106">
        <v>5</v>
      </c>
      <c r="B10" s="18" t="s">
        <v>51</v>
      </c>
      <c r="C10" s="34" t="s">
        <v>52</v>
      </c>
      <c r="D10" s="34" t="s">
        <v>42</v>
      </c>
      <c r="E10" s="18" t="s">
        <v>31</v>
      </c>
      <c r="F10" s="18" t="s">
        <v>53</v>
      </c>
      <c r="G10" s="18" t="s">
        <v>54</v>
      </c>
      <c r="H10" s="18" t="s">
        <v>55</v>
      </c>
      <c r="I10" s="18" t="s">
        <v>25</v>
      </c>
      <c r="J10" s="107" t="s">
        <v>36</v>
      </c>
      <c r="K10" s="18" t="s">
        <v>27</v>
      </c>
      <c r="L10" s="26">
        <v>37</v>
      </c>
      <c r="M10" s="107">
        <f t="shared" si="0"/>
        <v>3</v>
      </c>
      <c r="N10" s="107">
        <f t="shared" si="1"/>
        <v>9</v>
      </c>
      <c r="O10" s="18" t="s">
        <v>38</v>
      </c>
      <c r="P10" s="18" t="s">
        <v>46</v>
      </c>
      <c r="Q10" s="108">
        <v>44736</v>
      </c>
      <c r="R10" s="110">
        <v>32971</v>
      </c>
      <c r="S10" s="112"/>
      <c r="U10" s="113"/>
    </row>
    <row r="11" s="82" customFormat="1" ht="24" customHeight="1" spans="1:27">
      <c r="A11" s="106">
        <v>6</v>
      </c>
      <c r="B11" s="18" t="s">
        <v>56</v>
      </c>
      <c r="C11" s="34" t="s">
        <v>52</v>
      </c>
      <c r="D11" s="34" t="s">
        <v>42</v>
      </c>
      <c r="E11" s="18" t="s">
        <v>57</v>
      </c>
      <c r="F11" s="18" t="s">
        <v>58</v>
      </c>
      <c r="G11" s="18" t="s">
        <v>25</v>
      </c>
      <c r="H11" s="18" t="s">
        <v>26</v>
      </c>
      <c r="I11" s="18" t="s">
        <v>25</v>
      </c>
      <c r="J11" s="107" t="s">
        <v>25</v>
      </c>
      <c r="K11" s="18" t="s">
        <v>27</v>
      </c>
      <c r="L11" s="26">
        <v>31</v>
      </c>
      <c r="M11" s="107">
        <f t="shared" si="0"/>
        <v>1</v>
      </c>
      <c r="N11" s="107">
        <f t="shared" si="1"/>
        <v>2</v>
      </c>
      <c r="O11" s="18" t="s">
        <v>38</v>
      </c>
      <c r="P11" s="18" t="s">
        <v>46</v>
      </c>
      <c r="Q11" s="108">
        <v>45700</v>
      </c>
      <c r="R11" s="110">
        <v>29773</v>
      </c>
      <c r="S11" s="112"/>
      <c r="U11" s="113"/>
      <c r="V11" s="81"/>
      <c r="W11" s="81"/>
      <c r="X11" s="81"/>
    </row>
    <row r="12" s="82" customFormat="1" ht="24" customHeight="1" spans="1:27">
      <c r="A12" s="106">
        <v>7</v>
      </c>
      <c r="B12" s="18" t="s">
        <v>59</v>
      </c>
      <c r="C12" s="34" t="s">
        <v>52</v>
      </c>
      <c r="D12" s="34" t="s">
        <v>42</v>
      </c>
      <c r="E12" s="18" t="s">
        <v>60</v>
      </c>
      <c r="F12" s="18" t="s">
        <v>61</v>
      </c>
      <c r="G12" s="18" t="s">
        <v>62</v>
      </c>
      <c r="H12" s="18" t="s">
        <v>55</v>
      </c>
      <c r="I12" s="18" t="s">
        <v>25</v>
      </c>
      <c r="J12" s="107" t="s">
        <v>25</v>
      </c>
      <c r="K12" s="18" t="s">
        <v>27</v>
      </c>
      <c r="L12" s="26">
        <v>28</v>
      </c>
      <c r="M12" s="107">
        <f t="shared" si="0"/>
        <v>1</v>
      </c>
      <c r="N12" s="107">
        <f t="shared" si="1"/>
        <v>1</v>
      </c>
      <c r="O12" s="18" t="s">
        <v>38</v>
      </c>
      <c r="P12" s="18" t="s">
        <v>46</v>
      </c>
      <c r="Q12" s="108">
        <v>45715</v>
      </c>
      <c r="R12" s="110">
        <v>30125</v>
      </c>
      <c r="S12" s="112"/>
      <c r="U12" s="113"/>
      <c r="V12" s="81"/>
      <c r="W12" s="81"/>
      <c r="X12" s="81"/>
    </row>
    <row r="13" s="82" customFormat="1" ht="24" customHeight="1" spans="1:27">
      <c r="A13" s="106">
        <v>8</v>
      </c>
      <c r="B13" s="18" t="s">
        <v>63</v>
      </c>
      <c r="C13" s="34" t="s">
        <v>52</v>
      </c>
      <c r="D13" s="34" t="s">
        <v>42</v>
      </c>
      <c r="E13" s="18" t="s">
        <v>64</v>
      </c>
      <c r="F13" s="18" t="s">
        <v>65</v>
      </c>
      <c r="G13" s="18" t="s">
        <v>66</v>
      </c>
      <c r="H13" s="18" t="s">
        <v>55</v>
      </c>
      <c r="I13" s="18" t="s">
        <v>25</v>
      </c>
      <c r="J13" s="107" t="s">
        <v>25</v>
      </c>
      <c r="K13" s="18" t="s">
        <v>27</v>
      </c>
      <c r="L13" s="26">
        <v>31</v>
      </c>
      <c r="M13" s="107">
        <f t="shared" si="0"/>
        <v>1</v>
      </c>
      <c r="N13" s="107">
        <f t="shared" si="1"/>
        <v>5</v>
      </c>
      <c r="O13" s="18" t="s">
        <v>38</v>
      </c>
      <c r="P13" s="18" t="s">
        <v>46</v>
      </c>
      <c r="Q13" s="108">
        <v>45603</v>
      </c>
      <c r="R13" s="110">
        <v>32042</v>
      </c>
      <c r="S13" s="114"/>
      <c r="U13" s="105"/>
      <c r="Y13" s="96"/>
      <c r="Z13" s="96"/>
      <c r="AA13" s="96"/>
    </row>
    <row r="14" s="83" customFormat="1" ht="24" customHeight="1" spans="1:27">
      <c r="A14" s="106">
        <v>9</v>
      </c>
      <c r="B14" s="18" t="s">
        <v>67</v>
      </c>
      <c r="C14" s="34" t="s">
        <v>52</v>
      </c>
      <c r="D14" s="34" t="s">
        <v>42</v>
      </c>
      <c r="E14" s="18" t="s">
        <v>68</v>
      </c>
      <c r="F14" s="18" t="s">
        <v>69</v>
      </c>
      <c r="G14" s="18" t="s">
        <v>25</v>
      </c>
      <c r="H14" s="18" t="s">
        <v>26</v>
      </c>
      <c r="I14" s="18" t="s">
        <v>25</v>
      </c>
      <c r="J14" s="107" t="s">
        <v>25</v>
      </c>
      <c r="K14" s="18" t="s">
        <v>27</v>
      </c>
      <c r="L14" s="26">
        <v>26</v>
      </c>
      <c r="M14" s="107">
        <f t="shared" si="0"/>
        <v>0</v>
      </c>
      <c r="N14" s="107">
        <f t="shared" si="1"/>
        <v>11</v>
      </c>
      <c r="O14" s="18" t="s">
        <v>38</v>
      </c>
      <c r="P14" s="18" t="s">
        <v>46</v>
      </c>
      <c r="Q14" s="108">
        <v>45770</v>
      </c>
      <c r="R14" s="110">
        <v>31021</v>
      </c>
      <c r="S14" s="115"/>
    </row>
    <row r="15" s="83" customFormat="1" ht="24" customHeight="1" spans="1:27">
      <c r="A15" s="106">
        <v>10</v>
      </c>
      <c r="B15" s="18" t="s">
        <v>70</v>
      </c>
      <c r="C15" s="34" t="s">
        <v>52</v>
      </c>
      <c r="D15" s="34" t="s">
        <v>42</v>
      </c>
      <c r="E15" s="18" t="s">
        <v>71</v>
      </c>
      <c r="F15" s="18" t="s">
        <v>72</v>
      </c>
      <c r="G15" s="18" t="s">
        <v>73</v>
      </c>
      <c r="H15" s="18" t="s">
        <v>55</v>
      </c>
      <c r="I15" s="18" t="s">
        <v>25</v>
      </c>
      <c r="J15" s="107" t="s">
        <v>25</v>
      </c>
      <c r="K15" s="18" t="s">
        <v>27</v>
      </c>
      <c r="L15" s="26">
        <v>22</v>
      </c>
      <c r="M15" s="107">
        <f t="shared" si="0"/>
        <v>0</v>
      </c>
      <c r="N15" s="107">
        <f t="shared" si="1"/>
        <v>7</v>
      </c>
      <c r="O15" s="18" t="s">
        <v>38</v>
      </c>
      <c r="P15" s="18" t="s">
        <v>46</v>
      </c>
      <c r="Q15" s="108">
        <v>45915</v>
      </c>
      <c r="R15" s="110">
        <v>30966</v>
      </c>
      <c r="S15" s="115"/>
    </row>
    <row r="16" s="81" customFormat="1" ht="24" customHeight="1" spans="1:27">
      <c r="A16" s="106">
        <v>11</v>
      </c>
      <c r="B16" s="18" t="s">
        <v>74</v>
      </c>
      <c r="C16" s="34" t="s">
        <v>52</v>
      </c>
      <c r="D16" s="34" t="s">
        <v>42</v>
      </c>
      <c r="E16" s="18" t="s">
        <v>75</v>
      </c>
      <c r="F16" s="18" t="s">
        <v>76</v>
      </c>
      <c r="G16" s="18" t="s">
        <v>77</v>
      </c>
      <c r="H16" s="18" t="s">
        <v>55</v>
      </c>
      <c r="I16" s="18" t="s">
        <v>25</v>
      </c>
      <c r="J16" s="107" t="s">
        <v>25</v>
      </c>
      <c r="K16" s="18" t="s">
        <v>27</v>
      </c>
      <c r="L16" s="26">
        <v>23</v>
      </c>
      <c r="M16" s="107">
        <f t="shared" si="0"/>
        <v>1</v>
      </c>
      <c r="N16" s="107">
        <f t="shared" si="1"/>
        <v>1</v>
      </c>
      <c r="O16" s="18" t="s">
        <v>38</v>
      </c>
      <c r="P16" s="18" t="s">
        <v>46</v>
      </c>
      <c r="Q16" s="108">
        <v>45720</v>
      </c>
      <c r="R16" s="110">
        <v>29236</v>
      </c>
      <c r="S16" s="106"/>
    </row>
    <row r="17" s="81" customFormat="1" ht="24" customHeight="1" spans="1:19">
      <c r="A17" s="106">
        <v>12</v>
      </c>
      <c r="B17" s="18" t="s">
        <v>78</v>
      </c>
      <c r="C17" s="34" t="s">
        <v>52</v>
      </c>
      <c r="D17" s="34" t="s">
        <v>42</v>
      </c>
      <c r="E17" s="18" t="s">
        <v>79</v>
      </c>
      <c r="F17" s="18" t="s">
        <v>80</v>
      </c>
      <c r="G17" s="18" t="s">
        <v>25</v>
      </c>
      <c r="H17" s="18" t="s">
        <v>26</v>
      </c>
      <c r="I17" s="18" t="s">
        <v>25</v>
      </c>
      <c r="J17" s="107" t="s">
        <v>25</v>
      </c>
      <c r="K17" s="18" t="s">
        <v>27</v>
      </c>
      <c r="L17" s="26">
        <v>29</v>
      </c>
      <c r="M17" s="107">
        <f t="shared" si="0"/>
        <v>0</v>
      </c>
      <c r="N17" s="107">
        <f t="shared" si="1"/>
        <v>2</v>
      </c>
      <c r="O17" s="18" t="s">
        <v>38</v>
      </c>
      <c r="P17" s="18" t="s">
        <v>46</v>
      </c>
      <c r="Q17" s="108">
        <v>46058</v>
      </c>
      <c r="R17" s="110">
        <v>35700</v>
      </c>
      <c r="S17" s="106"/>
    </row>
    <row r="18" s="81" customFormat="1" ht="24" customHeight="1" spans="1:19">
      <c r="A18" s="106">
        <v>13</v>
      </c>
      <c r="B18" s="18" t="s">
        <v>81</v>
      </c>
      <c r="C18" s="34" t="s">
        <v>52</v>
      </c>
      <c r="D18" s="34" t="s">
        <v>42</v>
      </c>
      <c r="E18" s="18" t="s">
        <v>82</v>
      </c>
      <c r="F18" s="18" t="s">
        <v>83</v>
      </c>
      <c r="G18" s="18" t="s">
        <v>84</v>
      </c>
      <c r="H18" s="18" t="s">
        <v>55</v>
      </c>
      <c r="I18" s="18" t="s">
        <v>25</v>
      </c>
      <c r="J18" s="107" t="s">
        <v>25</v>
      </c>
      <c r="K18" s="18" t="s">
        <v>27</v>
      </c>
      <c r="L18" s="26">
        <v>26</v>
      </c>
      <c r="M18" s="107">
        <f t="shared" si="0"/>
        <v>0</v>
      </c>
      <c r="N18" s="107">
        <f t="shared" si="1"/>
        <v>5</v>
      </c>
      <c r="O18" s="18" t="s">
        <v>38</v>
      </c>
      <c r="P18" s="18" t="s">
        <v>46</v>
      </c>
      <c r="Q18" s="108">
        <v>45964</v>
      </c>
      <c r="R18" s="110">
        <v>32711</v>
      </c>
      <c r="S18" s="106"/>
    </row>
    <row r="19" s="81" customFormat="1" ht="24" customHeight="1" spans="1:19">
      <c r="A19" s="106">
        <v>14</v>
      </c>
      <c r="B19" s="18" t="s">
        <v>85</v>
      </c>
      <c r="C19" s="34" t="s">
        <v>52</v>
      </c>
      <c r="D19" s="34" t="s">
        <v>42</v>
      </c>
      <c r="E19" s="18" t="s">
        <v>86</v>
      </c>
      <c r="F19" s="18" t="s">
        <v>87</v>
      </c>
      <c r="G19" s="18" t="s">
        <v>88</v>
      </c>
      <c r="H19" s="18" t="s">
        <v>34</v>
      </c>
      <c r="I19" s="18" t="s">
        <v>35</v>
      </c>
      <c r="J19" s="106" t="s">
        <v>89</v>
      </c>
      <c r="K19" s="18" t="s">
        <v>27</v>
      </c>
      <c r="L19" s="26">
        <v>26</v>
      </c>
      <c r="M19" s="107">
        <f t="shared" si="0"/>
        <v>0</v>
      </c>
      <c r="N19" s="107">
        <f t="shared" si="1"/>
        <v>4</v>
      </c>
      <c r="O19" s="18" t="s">
        <v>38</v>
      </c>
      <c r="P19" s="18" t="s">
        <v>46</v>
      </c>
      <c r="Q19" s="108">
        <v>46002</v>
      </c>
      <c r="R19" s="110">
        <v>37184</v>
      </c>
      <c r="S19" s="106"/>
    </row>
    <row r="20" s="84" customFormat="1" ht="24" customHeight="1" spans="1:19">
      <c r="A20" s="106">
        <v>15</v>
      </c>
      <c r="B20" s="18" t="s">
        <v>90</v>
      </c>
      <c r="C20" s="34" t="s">
        <v>52</v>
      </c>
      <c r="D20" s="34" t="s">
        <v>42</v>
      </c>
      <c r="E20" s="18" t="s">
        <v>91</v>
      </c>
      <c r="F20" s="18" t="s">
        <v>92</v>
      </c>
      <c r="G20" s="18" t="s">
        <v>25</v>
      </c>
      <c r="H20" s="18" t="s">
        <v>26</v>
      </c>
      <c r="I20" s="18" t="s">
        <v>25</v>
      </c>
      <c r="J20" s="107" t="s">
        <v>25</v>
      </c>
      <c r="K20" s="18" t="s">
        <v>27</v>
      </c>
      <c r="L20" s="26">
        <v>24</v>
      </c>
      <c r="M20" s="107">
        <f t="shared" si="0"/>
        <v>0</v>
      </c>
      <c r="N20" s="107">
        <f t="shared" si="1"/>
        <v>2</v>
      </c>
      <c r="O20" s="18" t="s">
        <v>38</v>
      </c>
      <c r="P20" s="18" t="s">
        <v>46</v>
      </c>
      <c r="Q20" s="108">
        <v>46058</v>
      </c>
      <c r="R20" s="110">
        <v>33256</v>
      </c>
      <c r="S20" s="116"/>
    </row>
    <row r="21" s="84" customFormat="1" ht="24" customHeight="1" spans="1:19">
      <c r="A21" s="106">
        <v>16</v>
      </c>
      <c r="B21" s="18" t="s">
        <v>93</v>
      </c>
      <c r="C21" s="34" t="s">
        <v>94</v>
      </c>
      <c r="D21" s="34" t="s">
        <v>95</v>
      </c>
      <c r="E21" s="18" t="s">
        <v>31</v>
      </c>
      <c r="F21" s="18" t="s">
        <v>87</v>
      </c>
      <c r="G21" s="18" t="s">
        <v>96</v>
      </c>
      <c r="H21" s="18" t="s">
        <v>34</v>
      </c>
      <c r="I21" s="18" t="s">
        <v>35</v>
      </c>
      <c r="J21" s="106" t="s">
        <v>89</v>
      </c>
      <c r="K21" s="18" t="s">
        <v>37</v>
      </c>
      <c r="L21" s="26">
        <v>27</v>
      </c>
      <c r="M21" s="107">
        <f t="shared" si="0"/>
        <v>5</v>
      </c>
      <c r="N21" s="107">
        <f t="shared" si="1"/>
        <v>1</v>
      </c>
      <c r="O21" s="117" t="s">
        <v>94</v>
      </c>
      <c r="P21" s="18" t="s">
        <v>28</v>
      </c>
      <c r="Q21" s="108">
        <v>44256</v>
      </c>
      <c r="R21" s="110">
        <v>35598</v>
      </c>
      <c r="S21" s="116"/>
    </row>
    <row r="22" s="84" customFormat="1" ht="24" customHeight="1" spans="1:19">
      <c r="A22" s="106">
        <v>17</v>
      </c>
      <c r="B22" s="18" t="s">
        <v>97</v>
      </c>
      <c r="C22" s="34" t="s">
        <v>98</v>
      </c>
      <c r="D22" s="34" t="s">
        <v>95</v>
      </c>
      <c r="E22" s="18" t="s">
        <v>99</v>
      </c>
      <c r="F22" s="18" t="s">
        <v>100</v>
      </c>
      <c r="G22" s="18" t="s">
        <v>101</v>
      </c>
      <c r="H22" s="18" t="s">
        <v>34</v>
      </c>
      <c r="I22" s="18" t="s">
        <v>35</v>
      </c>
      <c r="J22" s="111" t="s">
        <v>36</v>
      </c>
      <c r="K22" s="18" t="s">
        <v>27</v>
      </c>
      <c r="L22" s="26">
        <v>29</v>
      </c>
      <c r="M22" s="107">
        <f t="shared" si="0"/>
        <v>6</v>
      </c>
      <c r="N22" s="107">
        <f t="shared" si="1"/>
        <v>4</v>
      </c>
      <c r="O22" s="117" t="s">
        <v>94</v>
      </c>
      <c r="P22" s="18" t="s">
        <v>28</v>
      </c>
      <c r="Q22" s="108">
        <v>43794</v>
      </c>
      <c r="R22" s="110">
        <v>36944</v>
      </c>
      <c r="S22" s="116"/>
    </row>
    <row r="23" s="81" customFormat="1" ht="24" customHeight="1" spans="1:19">
      <c r="A23" s="106">
        <v>18</v>
      </c>
      <c r="B23" s="18" t="s">
        <v>102</v>
      </c>
      <c r="C23" s="34" t="s">
        <v>103</v>
      </c>
      <c r="D23" s="34" t="s">
        <v>95</v>
      </c>
      <c r="E23" s="18" t="s">
        <v>104</v>
      </c>
      <c r="F23" s="18" t="s">
        <v>105</v>
      </c>
      <c r="G23" s="18" t="s">
        <v>106</v>
      </c>
      <c r="H23" s="18" t="s">
        <v>34</v>
      </c>
      <c r="I23" s="18" t="s">
        <v>35</v>
      </c>
      <c r="J23" s="95" t="s">
        <v>107</v>
      </c>
      <c r="K23" s="18" t="s">
        <v>27</v>
      </c>
      <c r="L23" s="26">
        <v>28</v>
      </c>
      <c r="M23" s="107">
        <f t="shared" si="0"/>
        <v>0</v>
      </c>
      <c r="N23" s="107">
        <f t="shared" si="1"/>
        <v>8</v>
      </c>
      <c r="O23" s="117" t="s">
        <v>108</v>
      </c>
      <c r="P23" s="18" t="s">
        <v>28</v>
      </c>
      <c r="Q23" s="108">
        <v>45860</v>
      </c>
      <c r="R23" s="110">
        <v>37770</v>
      </c>
      <c r="S23" s="109"/>
    </row>
    <row r="24" s="81" customFormat="1" ht="24" customHeight="1" spans="1:19">
      <c r="A24" s="106">
        <v>19</v>
      </c>
      <c r="B24" s="18" t="s">
        <v>109</v>
      </c>
      <c r="C24" s="34" t="s">
        <v>110</v>
      </c>
      <c r="D24" s="34" t="s">
        <v>95</v>
      </c>
      <c r="E24" s="18" t="s">
        <v>31</v>
      </c>
      <c r="F24" s="18" t="s">
        <v>111</v>
      </c>
      <c r="G24" s="18" t="s">
        <v>112</v>
      </c>
      <c r="H24" s="22" t="s">
        <v>113</v>
      </c>
      <c r="I24" s="22" t="s">
        <v>114</v>
      </c>
      <c r="J24" s="118" t="s">
        <v>36</v>
      </c>
      <c r="K24" s="18" t="s">
        <v>37</v>
      </c>
      <c r="L24" s="26">
        <v>22</v>
      </c>
      <c r="M24" s="107">
        <f t="shared" si="0"/>
        <v>0</v>
      </c>
      <c r="N24" s="107">
        <f t="shared" si="1"/>
        <v>9</v>
      </c>
      <c r="O24" s="18" t="s">
        <v>38</v>
      </c>
      <c r="P24" s="18" t="s">
        <v>46</v>
      </c>
      <c r="Q24" s="108">
        <v>45846</v>
      </c>
      <c r="R24" s="110">
        <v>33965</v>
      </c>
      <c r="S24" s="109"/>
    </row>
    <row r="25" s="81" customFormat="1" ht="24" customHeight="1" spans="1:19">
      <c r="A25" s="106">
        <v>20</v>
      </c>
      <c r="B25" s="18" t="s">
        <v>115</v>
      </c>
      <c r="C25" s="34" t="s">
        <v>116</v>
      </c>
      <c r="D25" s="34" t="s">
        <v>95</v>
      </c>
      <c r="E25" s="18" t="s">
        <v>31</v>
      </c>
      <c r="F25" s="18" t="s">
        <v>117</v>
      </c>
      <c r="G25" s="18" t="s">
        <v>118</v>
      </c>
      <c r="H25" s="22" t="s">
        <v>113</v>
      </c>
      <c r="I25" s="22" t="s">
        <v>114</v>
      </c>
      <c r="J25" s="106" t="s">
        <v>89</v>
      </c>
      <c r="K25" s="18" t="s">
        <v>37</v>
      </c>
      <c r="L25" s="26">
        <v>24</v>
      </c>
      <c r="M25" s="107">
        <f t="shared" si="0"/>
        <v>0</v>
      </c>
      <c r="N25" s="107">
        <f t="shared" si="1"/>
        <v>4</v>
      </c>
      <c r="O25" s="18" t="s">
        <v>38</v>
      </c>
      <c r="P25" s="18" t="s">
        <v>46</v>
      </c>
      <c r="Q25" s="108">
        <v>45979</v>
      </c>
      <c r="R25" s="110">
        <v>32845</v>
      </c>
      <c r="S25" s="106"/>
    </row>
    <row r="26" s="81" customFormat="1" ht="24" customHeight="1" spans="1:19">
      <c r="A26" s="106">
        <v>21</v>
      </c>
      <c r="B26" s="18" t="s">
        <v>119</v>
      </c>
      <c r="C26" s="34" t="s">
        <v>120</v>
      </c>
      <c r="D26" s="34" t="s">
        <v>95</v>
      </c>
      <c r="E26" s="18" t="s">
        <v>121</v>
      </c>
      <c r="F26" s="18" t="s">
        <v>122</v>
      </c>
      <c r="G26" s="18" t="s">
        <v>123</v>
      </c>
      <c r="H26" s="18" t="s">
        <v>34</v>
      </c>
      <c r="I26" s="18" t="s">
        <v>35</v>
      </c>
      <c r="J26" s="118" t="s">
        <v>36</v>
      </c>
      <c r="K26" s="18" t="s">
        <v>27</v>
      </c>
      <c r="L26" s="26">
        <v>28</v>
      </c>
      <c r="M26" s="107">
        <f t="shared" si="0"/>
        <v>2</v>
      </c>
      <c r="N26" s="107">
        <f t="shared" si="1"/>
        <v>4</v>
      </c>
      <c r="O26" s="18" t="s">
        <v>108</v>
      </c>
      <c r="P26" s="18" t="s">
        <v>28</v>
      </c>
      <c r="Q26" s="108">
        <v>45248</v>
      </c>
      <c r="R26" s="110">
        <v>34898</v>
      </c>
      <c r="S26" s="106"/>
    </row>
    <row r="27" s="81" customFormat="1" ht="24" customHeight="1" spans="1:19">
      <c r="A27" s="106">
        <v>22</v>
      </c>
      <c r="B27" s="18" t="s">
        <v>124</v>
      </c>
      <c r="C27" s="34" t="s">
        <v>125</v>
      </c>
      <c r="D27" s="34" t="s">
        <v>95</v>
      </c>
      <c r="E27" s="18" t="s">
        <v>126</v>
      </c>
      <c r="F27" s="18" t="s">
        <v>127</v>
      </c>
      <c r="G27" s="18" t="s">
        <v>25</v>
      </c>
      <c r="H27" s="18" t="s">
        <v>128</v>
      </c>
      <c r="I27" s="18" t="s">
        <v>25</v>
      </c>
      <c r="J27" s="107" t="s">
        <v>25</v>
      </c>
      <c r="K27" s="18" t="s">
        <v>37</v>
      </c>
      <c r="L27" s="26">
        <v>46</v>
      </c>
      <c r="M27" s="107">
        <f t="shared" si="0"/>
        <v>3</v>
      </c>
      <c r="N27" s="107">
        <f t="shared" si="1"/>
        <v>4</v>
      </c>
      <c r="O27" s="18" t="s">
        <v>38</v>
      </c>
      <c r="P27" s="18" t="s">
        <v>46</v>
      </c>
      <c r="Q27" s="108">
        <v>44912</v>
      </c>
      <c r="R27" s="110">
        <v>26649</v>
      </c>
      <c r="S27" s="109"/>
    </row>
    <row r="28" s="81" customFormat="1" ht="24" customHeight="1" spans="1:19">
      <c r="A28" s="106">
        <v>23</v>
      </c>
      <c r="B28" s="18" t="s">
        <v>129</v>
      </c>
      <c r="C28" s="34" t="s">
        <v>125</v>
      </c>
      <c r="D28" s="34" t="s">
        <v>95</v>
      </c>
      <c r="E28" s="18" t="s">
        <v>130</v>
      </c>
      <c r="F28" s="18" t="s">
        <v>131</v>
      </c>
      <c r="G28" s="18" t="s">
        <v>25</v>
      </c>
      <c r="H28" s="18" t="s">
        <v>128</v>
      </c>
      <c r="I28" s="18" t="s">
        <v>25</v>
      </c>
      <c r="J28" s="107" t="s">
        <v>25</v>
      </c>
      <c r="K28" s="18" t="s">
        <v>27</v>
      </c>
      <c r="L28" s="26">
        <v>35</v>
      </c>
      <c r="M28" s="107">
        <f t="shared" si="0"/>
        <v>1</v>
      </c>
      <c r="N28" s="107">
        <f t="shared" si="1"/>
        <v>11</v>
      </c>
      <c r="O28" s="18" t="s">
        <v>38</v>
      </c>
      <c r="P28" s="18" t="s">
        <v>46</v>
      </c>
      <c r="Q28" s="108">
        <v>45429</v>
      </c>
      <c r="R28" s="110">
        <v>30873</v>
      </c>
      <c r="S28" s="109"/>
    </row>
    <row r="29" s="81" customFormat="1" ht="24" customHeight="1" spans="1:19">
      <c r="A29" s="106">
        <v>24</v>
      </c>
      <c r="B29" s="18" t="s">
        <v>132</v>
      </c>
      <c r="C29" s="34" t="s">
        <v>125</v>
      </c>
      <c r="D29" s="34" t="s">
        <v>95</v>
      </c>
      <c r="E29" s="18" t="s">
        <v>133</v>
      </c>
      <c r="F29" s="18" t="s">
        <v>134</v>
      </c>
      <c r="G29" s="18" t="s">
        <v>25</v>
      </c>
      <c r="H29" s="18" t="s">
        <v>128</v>
      </c>
      <c r="I29" s="18" t="s">
        <v>25</v>
      </c>
      <c r="J29" s="107" t="s">
        <v>25</v>
      </c>
      <c r="K29" s="18" t="s">
        <v>37</v>
      </c>
      <c r="L29" s="26">
        <v>44</v>
      </c>
      <c r="M29" s="107">
        <f t="shared" si="0"/>
        <v>1</v>
      </c>
      <c r="N29" s="107">
        <f t="shared" si="1"/>
        <v>3</v>
      </c>
      <c r="O29" s="18" t="s">
        <v>38</v>
      </c>
      <c r="P29" s="18" t="s">
        <v>46</v>
      </c>
      <c r="Q29" s="108">
        <v>45659</v>
      </c>
      <c r="R29" s="110">
        <v>30462</v>
      </c>
      <c r="S29" s="109"/>
    </row>
    <row r="30" s="81" customFormat="1" ht="24" customHeight="1" spans="1:19">
      <c r="A30" s="106">
        <v>25</v>
      </c>
      <c r="B30" s="18" t="s">
        <v>135</v>
      </c>
      <c r="C30" s="34" t="s">
        <v>125</v>
      </c>
      <c r="D30" s="34" t="s">
        <v>95</v>
      </c>
      <c r="E30" s="18" t="s">
        <v>126</v>
      </c>
      <c r="F30" s="18" t="s">
        <v>127</v>
      </c>
      <c r="G30" s="18" t="s">
        <v>25</v>
      </c>
      <c r="H30" s="18" t="s">
        <v>128</v>
      </c>
      <c r="I30" s="18" t="s">
        <v>25</v>
      </c>
      <c r="J30" s="107" t="s">
        <v>25</v>
      </c>
      <c r="K30" s="18" t="s">
        <v>37</v>
      </c>
      <c r="L30" s="26">
        <v>38</v>
      </c>
      <c r="M30" s="107">
        <f t="shared" si="0"/>
        <v>0</v>
      </c>
      <c r="N30" s="107">
        <f t="shared" si="1"/>
        <v>9</v>
      </c>
      <c r="O30" s="18" t="s">
        <v>38</v>
      </c>
      <c r="P30" s="18" t="s">
        <v>46</v>
      </c>
      <c r="Q30" s="108">
        <v>45848</v>
      </c>
      <c r="R30" s="110">
        <v>31014</v>
      </c>
      <c r="S30" s="109"/>
    </row>
    <row r="31" s="81" customFormat="1" ht="24" customHeight="1" spans="1:19">
      <c r="A31" s="106">
        <v>26</v>
      </c>
      <c r="B31" s="18" t="s">
        <v>136</v>
      </c>
      <c r="C31" s="34" t="s">
        <v>125</v>
      </c>
      <c r="D31" s="34" t="s">
        <v>95</v>
      </c>
      <c r="E31" s="18" t="s">
        <v>126</v>
      </c>
      <c r="F31" s="18" t="s">
        <v>137</v>
      </c>
      <c r="G31" s="18" t="s">
        <v>25</v>
      </c>
      <c r="H31" s="18" t="s">
        <v>128</v>
      </c>
      <c r="I31" s="18" t="s">
        <v>25</v>
      </c>
      <c r="J31" s="107" t="s">
        <v>25</v>
      </c>
      <c r="K31" s="18" t="s">
        <v>37</v>
      </c>
      <c r="L31" s="26">
        <v>41</v>
      </c>
      <c r="M31" s="107">
        <f t="shared" si="0"/>
        <v>0</v>
      </c>
      <c r="N31" s="107">
        <f t="shared" si="1"/>
        <v>8</v>
      </c>
      <c r="O31" s="18" t="s">
        <v>38</v>
      </c>
      <c r="P31" s="18" t="s">
        <v>46</v>
      </c>
      <c r="Q31" s="108">
        <v>45868</v>
      </c>
      <c r="R31" s="110">
        <v>36772</v>
      </c>
      <c r="S31" s="109"/>
    </row>
    <row r="32" s="81" customFormat="1" ht="24" customHeight="1" spans="1:19">
      <c r="A32" s="106">
        <v>27</v>
      </c>
      <c r="B32" s="18" t="s">
        <v>138</v>
      </c>
      <c r="C32" s="34" t="s">
        <v>125</v>
      </c>
      <c r="D32" s="34" t="s">
        <v>95</v>
      </c>
      <c r="E32" s="18" t="s">
        <v>126</v>
      </c>
      <c r="F32" s="18" t="s">
        <v>139</v>
      </c>
      <c r="G32" s="18" t="s">
        <v>25</v>
      </c>
      <c r="H32" s="18" t="s">
        <v>128</v>
      </c>
      <c r="I32" s="18" t="s">
        <v>25</v>
      </c>
      <c r="J32" s="107" t="s">
        <v>25</v>
      </c>
      <c r="K32" s="18" t="s">
        <v>37</v>
      </c>
      <c r="L32" s="26">
        <v>41</v>
      </c>
      <c r="M32" s="107">
        <f t="shared" si="0"/>
        <v>0</v>
      </c>
      <c r="N32" s="107">
        <f t="shared" si="1"/>
        <v>3</v>
      </c>
      <c r="O32" s="18" t="s">
        <v>38</v>
      </c>
      <c r="P32" s="18" t="s">
        <v>46</v>
      </c>
      <c r="Q32" s="108">
        <v>46013</v>
      </c>
      <c r="R32" s="110">
        <v>30966</v>
      </c>
      <c r="S32" s="109"/>
    </row>
    <row r="33" s="81" customFormat="1" ht="24" customHeight="1" spans="1:19">
      <c r="A33" s="106">
        <v>28</v>
      </c>
      <c r="B33" s="18" t="s">
        <v>140</v>
      </c>
      <c r="C33" s="34" t="s">
        <v>94</v>
      </c>
      <c r="D33" s="34" t="s">
        <v>141</v>
      </c>
      <c r="E33" s="18" t="s">
        <v>31</v>
      </c>
      <c r="F33" s="18" t="s">
        <v>142</v>
      </c>
      <c r="G33" s="18" t="s">
        <v>96</v>
      </c>
      <c r="H33" s="18" t="s">
        <v>55</v>
      </c>
      <c r="I33" s="18" t="s">
        <v>25</v>
      </c>
      <c r="J33" s="107" t="s">
        <v>25</v>
      </c>
      <c r="K33" s="18" t="s">
        <v>37</v>
      </c>
      <c r="L33" s="26">
        <v>50</v>
      </c>
      <c r="M33" s="107">
        <f t="shared" si="0"/>
        <v>10</v>
      </c>
      <c r="N33" s="107">
        <f t="shared" si="1"/>
        <v>1</v>
      </c>
      <c r="O33" s="117" t="s">
        <v>94</v>
      </c>
      <c r="P33" s="18" t="s">
        <v>28</v>
      </c>
      <c r="Q33" s="108">
        <v>42430</v>
      </c>
      <c r="R33" s="110">
        <v>27492</v>
      </c>
      <c r="S33" s="109"/>
    </row>
    <row r="34" s="81" customFormat="1" ht="24" customHeight="1" spans="1:19">
      <c r="A34" s="106">
        <v>29</v>
      </c>
      <c r="B34" s="18" t="s">
        <v>143</v>
      </c>
      <c r="C34" s="34" t="s">
        <v>144</v>
      </c>
      <c r="D34" s="34" t="s">
        <v>141</v>
      </c>
      <c r="E34" s="18" t="s">
        <v>145</v>
      </c>
      <c r="F34" s="18" t="s">
        <v>146</v>
      </c>
      <c r="G34" s="18" t="s">
        <v>25</v>
      </c>
      <c r="H34" s="18" t="s">
        <v>26</v>
      </c>
      <c r="I34" s="18" t="s">
        <v>25</v>
      </c>
      <c r="J34" s="107" t="s">
        <v>25</v>
      </c>
      <c r="K34" s="18" t="s">
        <v>37</v>
      </c>
      <c r="L34" s="26">
        <v>28</v>
      </c>
      <c r="M34" s="107">
        <f t="shared" si="0"/>
        <v>5</v>
      </c>
      <c r="N34" s="107">
        <f t="shared" si="1"/>
        <v>9</v>
      </c>
      <c r="O34" s="18" t="s">
        <v>38</v>
      </c>
      <c r="P34" s="18" t="s">
        <v>39</v>
      </c>
      <c r="Q34" s="108">
        <v>44024</v>
      </c>
      <c r="R34" s="110">
        <v>32711</v>
      </c>
      <c r="S34" s="109"/>
    </row>
    <row r="35" s="81" customFormat="1" ht="24" customHeight="1" spans="1:19">
      <c r="A35" s="106">
        <v>30</v>
      </c>
      <c r="B35" s="18" t="s">
        <v>147</v>
      </c>
      <c r="C35" s="34" t="s">
        <v>144</v>
      </c>
      <c r="D35" s="34" t="s">
        <v>141</v>
      </c>
      <c r="E35" s="18" t="s">
        <v>23</v>
      </c>
      <c r="F35" s="18" t="s">
        <v>148</v>
      </c>
      <c r="G35" s="18" t="s">
        <v>25</v>
      </c>
      <c r="H35" s="18" t="s">
        <v>128</v>
      </c>
      <c r="I35" s="18" t="s">
        <v>25</v>
      </c>
      <c r="J35" s="107" t="s">
        <v>25</v>
      </c>
      <c r="K35" s="18" t="s">
        <v>27</v>
      </c>
      <c r="L35" s="26">
        <v>36</v>
      </c>
      <c r="M35" s="107">
        <f t="shared" si="0"/>
        <v>3</v>
      </c>
      <c r="N35" s="107">
        <f t="shared" si="1"/>
        <v>9</v>
      </c>
      <c r="O35" s="18" t="s">
        <v>38</v>
      </c>
      <c r="P35" s="18" t="s">
        <v>46</v>
      </c>
      <c r="Q35" s="108">
        <v>44754</v>
      </c>
      <c r="R35" s="110">
        <v>35700</v>
      </c>
      <c r="S35" s="109"/>
    </row>
    <row r="36" s="81" customFormat="1" ht="24" customHeight="1" spans="1:19">
      <c r="A36" s="106">
        <v>31</v>
      </c>
      <c r="B36" s="18" t="s">
        <v>149</v>
      </c>
      <c r="C36" s="34" t="s">
        <v>150</v>
      </c>
      <c r="D36" s="34" t="s">
        <v>141</v>
      </c>
      <c r="E36" s="18" t="s">
        <v>31</v>
      </c>
      <c r="F36" s="18" t="s">
        <v>151</v>
      </c>
      <c r="G36" s="18" t="s">
        <v>152</v>
      </c>
      <c r="H36" s="18" t="s">
        <v>34</v>
      </c>
      <c r="I36" s="18" t="s">
        <v>35</v>
      </c>
      <c r="J36" s="106" t="s">
        <v>36</v>
      </c>
      <c r="K36" s="18" t="s">
        <v>27</v>
      </c>
      <c r="L36" s="26">
        <v>24</v>
      </c>
      <c r="M36" s="107">
        <f t="shared" si="0"/>
        <v>1</v>
      </c>
      <c r="N36" s="107">
        <f t="shared" si="1"/>
        <v>8</v>
      </c>
      <c r="O36" s="18" t="s">
        <v>38</v>
      </c>
      <c r="P36" s="18" t="s">
        <v>39</v>
      </c>
      <c r="Q36" s="108">
        <v>45510</v>
      </c>
      <c r="R36" s="110">
        <v>44489</v>
      </c>
      <c r="S36" s="109"/>
    </row>
    <row r="37" s="81" customFormat="1" ht="24" customHeight="1" spans="1:19">
      <c r="A37" s="106">
        <v>32</v>
      </c>
      <c r="B37" s="18" t="s">
        <v>153</v>
      </c>
      <c r="C37" s="34" t="s">
        <v>94</v>
      </c>
      <c r="D37" s="34" t="s">
        <v>154</v>
      </c>
      <c r="E37" s="18" t="s">
        <v>155</v>
      </c>
      <c r="F37" s="18" t="s">
        <v>156</v>
      </c>
      <c r="G37" s="18" t="s">
        <v>157</v>
      </c>
      <c r="H37" s="18" t="s">
        <v>34</v>
      </c>
      <c r="I37" s="18" t="s">
        <v>35</v>
      </c>
      <c r="J37" s="106" t="s">
        <v>36</v>
      </c>
      <c r="K37" s="18" t="s">
        <v>37</v>
      </c>
      <c r="L37" s="26">
        <v>28</v>
      </c>
      <c r="M37" s="107">
        <f t="shared" si="0"/>
        <v>5</v>
      </c>
      <c r="N37" s="107">
        <f t="shared" si="1"/>
        <v>4</v>
      </c>
      <c r="O37" s="117" t="s">
        <v>94</v>
      </c>
      <c r="P37" s="18" t="s">
        <v>28</v>
      </c>
      <c r="Q37" s="108">
        <v>44179</v>
      </c>
      <c r="R37" s="108">
        <v>35598</v>
      </c>
      <c r="S37" s="109"/>
    </row>
    <row r="38" s="81" customFormat="1" ht="24" customHeight="1" spans="1:19">
      <c r="A38" s="106">
        <v>33</v>
      </c>
      <c r="B38" s="18" t="s">
        <v>158</v>
      </c>
      <c r="C38" s="34" t="s">
        <v>41</v>
      </c>
      <c r="D38" s="34" t="s">
        <v>154</v>
      </c>
      <c r="E38" s="18" t="s">
        <v>159</v>
      </c>
      <c r="F38" s="18" t="s">
        <v>160</v>
      </c>
      <c r="G38" s="18" t="s">
        <v>25</v>
      </c>
      <c r="H38" s="18" t="s">
        <v>55</v>
      </c>
      <c r="I38" s="18" t="s">
        <v>25</v>
      </c>
      <c r="J38" s="106" t="s">
        <v>25</v>
      </c>
      <c r="K38" s="18" t="s">
        <v>37</v>
      </c>
      <c r="L38" s="26">
        <v>30</v>
      </c>
      <c r="M38" s="107">
        <f t="shared" si="0"/>
        <v>5</v>
      </c>
      <c r="N38" s="107">
        <f t="shared" si="1"/>
        <v>5</v>
      </c>
      <c r="O38" s="18" t="s">
        <v>94</v>
      </c>
      <c r="P38" s="18" t="s">
        <v>28</v>
      </c>
      <c r="Q38" s="108">
        <v>44139</v>
      </c>
      <c r="R38" s="108">
        <v>35057</v>
      </c>
      <c r="S38" s="109"/>
    </row>
    <row r="39" s="81" customFormat="1" ht="24" customHeight="1" spans="1:19">
      <c r="A39" s="106">
        <v>34</v>
      </c>
      <c r="B39" s="18" t="s">
        <v>161</v>
      </c>
      <c r="C39" s="34" t="s">
        <v>162</v>
      </c>
      <c r="D39" s="34" t="s">
        <v>154</v>
      </c>
      <c r="E39" s="18" t="s">
        <v>31</v>
      </c>
      <c r="F39" s="18" t="s">
        <v>163</v>
      </c>
      <c r="G39" s="18" t="s">
        <v>164</v>
      </c>
      <c r="H39" s="22" t="s">
        <v>113</v>
      </c>
      <c r="I39" s="22" t="s">
        <v>114</v>
      </c>
      <c r="J39" s="106" t="s">
        <v>89</v>
      </c>
      <c r="K39" s="18" t="s">
        <v>37</v>
      </c>
      <c r="L39" s="26">
        <v>25</v>
      </c>
      <c r="M39" s="107">
        <f t="shared" si="0"/>
        <v>0</v>
      </c>
      <c r="N39" s="107">
        <f t="shared" si="1"/>
        <v>8</v>
      </c>
      <c r="O39" s="18" t="s">
        <v>38</v>
      </c>
      <c r="P39" s="18" t="s">
        <v>39</v>
      </c>
      <c r="Q39" s="108">
        <v>45874</v>
      </c>
      <c r="R39" s="108">
        <v>36944</v>
      </c>
      <c r="S39" s="109"/>
    </row>
    <row r="40" s="81" customFormat="1" ht="24" customHeight="1" spans="1:19">
      <c r="A40" s="106">
        <v>35</v>
      </c>
      <c r="B40" s="18" t="s">
        <v>165</v>
      </c>
      <c r="C40" s="34" t="s">
        <v>166</v>
      </c>
      <c r="D40" s="34" t="s">
        <v>154</v>
      </c>
      <c r="E40" s="18" t="s">
        <v>155</v>
      </c>
      <c r="F40" s="18" t="s">
        <v>167</v>
      </c>
      <c r="G40" s="18" t="s">
        <v>168</v>
      </c>
      <c r="H40" s="22" t="s">
        <v>113</v>
      </c>
      <c r="I40" s="22" t="s">
        <v>114</v>
      </c>
      <c r="J40" s="106" t="s">
        <v>36</v>
      </c>
      <c r="K40" s="18" t="s">
        <v>37</v>
      </c>
      <c r="L40" s="26">
        <v>22</v>
      </c>
      <c r="M40" s="107">
        <f t="shared" si="0"/>
        <v>0</v>
      </c>
      <c r="N40" s="107">
        <f t="shared" si="1"/>
        <v>7</v>
      </c>
      <c r="O40" s="18" t="s">
        <v>38</v>
      </c>
      <c r="P40" s="18" t="s">
        <v>39</v>
      </c>
      <c r="Q40" s="108">
        <v>45901</v>
      </c>
      <c r="R40" s="108">
        <v>37770</v>
      </c>
      <c r="S40" s="109"/>
    </row>
    <row r="41" s="81" customFormat="1" ht="24" customHeight="1" spans="1:19">
      <c r="A41" s="106">
        <v>36</v>
      </c>
      <c r="B41" s="18" t="s">
        <v>169</v>
      </c>
      <c r="C41" s="34" t="s">
        <v>170</v>
      </c>
      <c r="D41" s="34" t="s">
        <v>154</v>
      </c>
      <c r="E41" s="18" t="s">
        <v>31</v>
      </c>
      <c r="F41" s="18" t="s">
        <v>171</v>
      </c>
      <c r="G41" s="18" t="s">
        <v>25</v>
      </c>
      <c r="H41" s="18" t="s">
        <v>26</v>
      </c>
      <c r="I41" s="18" t="s">
        <v>25</v>
      </c>
      <c r="J41" s="107" t="s">
        <v>25</v>
      </c>
      <c r="K41" s="18" t="s">
        <v>27</v>
      </c>
      <c r="L41" s="26">
        <v>33</v>
      </c>
      <c r="M41" s="107">
        <f t="shared" si="0"/>
        <v>4</v>
      </c>
      <c r="N41" s="107">
        <f t="shared" si="1"/>
        <v>1</v>
      </c>
      <c r="O41" s="18" t="s">
        <v>38</v>
      </c>
      <c r="P41" s="18" t="s">
        <v>46</v>
      </c>
      <c r="Q41" s="108">
        <v>44620</v>
      </c>
      <c r="R41" s="108">
        <v>33945</v>
      </c>
      <c r="S41" s="109"/>
    </row>
    <row r="42" s="81" customFormat="1" ht="24" customHeight="1" spans="1:19">
      <c r="A42" s="106">
        <v>37</v>
      </c>
      <c r="B42" s="18" t="s">
        <v>172</v>
      </c>
      <c r="C42" s="34" t="s">
        <v>170</v>
      </c>
      <c r="D42" s="34" t="s">
        <v>154</v>
      </c>
      <c r="E42" s="18" t="s">
        <v>31</v>
      </c>
      <c r="F42" s="18" t="s">
        <v>173</v>
      </c>
      <c r="G42" s="18" t="s">
        <v>174</v>
      </c>
      <c r="H42" s="18" t="s">
        <v>34</v>
      </c>
      <c r="I42" s="18" t="s">
        <v>35</v>
      </c>
      <c r="J42" s="106" t="s">
        <v>107</v>
      </c>
      <c r="K42" s="18" t="s">
        <v>27</v>
      </c>
      <c r="L42" s="26">
        <v>36</v>
      </c>
      <c r="M42" s="107">
        <f t="shared" si="0"/>
        <v>4</v>
      </c>
      <c r="N42" s="107">
        <f t="shared" si="1"/>
        <v>1</v>
      </c>
      <c r="O42" s="18" t="s">
        <v>38</v>
      </c>
      <c r="P42" s="18" t="s">
        <v>46</v>
      </c>
      <c r="Q42" s="108">
        <v>44621</v>
      </c>
      <c r="R42" s="108">
        <v>32845</v>
      </c>
      <c r="S42" s="109"/>
    </row>
    <row r="43" s="81" customFormat="1" ht="24" customHeight="1" spans="1:19">
      <c r="A43" s="106">
        <v>38</v>
      </c>
      <c r="B43" s="18" t="s">
        <v>175</v>
      </c>
      <c r="C43" s="34" t="s">
        <v>170</v>
      </c>
      <c r="D43" s="34" t="s">
        <v>154</v>
      </c>
      <c r="E43" s="18" t="s">
        <v>155</v>
      </c>
      <c r="F43" s="18" t="s">
        <v>176</v>
      </c>
      <c r="G43" s="18" t="s">
        <v>177</v>
      </c>
      <c r="H43" s="18" t="s">
        <v>34</v>
      </c>
      <c r="I43" s="18" t="s">
        <v>35</v>
      </c>
      <c r="J43" s="95" t="s">
        <v>36</v>
      </c>
      <c r="K43" s="18" t="s">
        <v>27</v>
      </c>
      <c r="L43" s="26">
        <v>30</v>
      </c>
      <c r="M43" s="107">
        <f t="shared" si="0"/>
        <v>1</v>
      </c>
      <c r="N43" s="107">
        <f t="shared" si="1"/>
        <v>1</v>
      </c>
      <c r="O43" s="18" t="s">
        <v>38</v>
      </c>
      <c r="P43" s="18" t="s">
        <v>46</v>
      </c>
      <c r="Q43" s="108">
        <v>45721</v>
      </c>
      <c r="R43" s="108">
        <v>34898</v>
      </c>
      <c r="S43" s="109"/>
    </row>
    <row r="44" s="81" customFormat="1" ht="24" customHeight="1" spans="1:19">
      <c r="A44" s="106">
        <v>39</v>
      </c>
      <c r="B44" s="18" t="s">
        <v>178</v>
      </c>
      <c r="C44" s="34" t="s">
        <v>170</v>
      </c>
      <c r="D44" s="34" t="s">
        <v>154</v>
      </c>
      <c r="E44" s="18" t="s">
        <v>31</v>
      </c>
      <c r="F44" s="18" t="s">
        <v>179</v>
      </c>
      <c r="G44" s="18" t="s">
        <v>25</v>
      </c>
      <c r="H44" s="18" t="s">
        <v>26</v>
      </c>
      <c r="I44" s="18" t="s">
        <v>25</v>
      </c>
      <c r="J44" s="107" t="s">
        <v>25</v>
      </c>
      <c r="K44" s="18" t="s">
        <v>27</v>
      </c>
      <c r="L44" s="26">
        <v>53</v>
      </c>
      <c r="M44" s="107">
        <f t="shared" si="0"/>
        <v>4</v>
      </c>
      <c r="N44" s="107">
        <f t="shared" si="1"/>
        <v>1</v>
      </c>
      <c r="O44" s="18" t="s">
        <v>38</v>
      </c>
      <c r="P44" s="18" t="s">
        <v>46</v>
      </c>
      <c r="Q44" s="108">
        <v>44620</v>
      </c>
      <c r="R44" s="108">
        <v>26649</v>
      </c>
      <c r="S44" s="109"/>
    </row>
    <row r="45" s="81" customFormat="1" ht="24" customHeight="1" spans="1:19">
      <c r="A45" s="106">
        <v>40</v>
      </c>
      <c r="B45" s="18" t="s">
        <v>180</v>
      </c>
      <c r="C45" s="34" t="s">
        <v>170</v>
      </c>
      <c r="D45" s="34" t="s">
        <v>154</v>
      </c>
      <c r="E45" s="18" t="s">
        <v>31</v>
      </c>
      <c r="F45" s="18" t="s">
        <v>179</v>
      </c>
      <c r="G45" s="18" t="s">
        <v>25</v>
      </c>
      <c r="H45" s="18" t="s">
        <v>26</v>
      </c>
      <c r="I45" s="18" t="s">
        <v>25</v>
      </c>
      <c r="J45" s="107" t="s">
        <v>25</v>
      </c>
      <c r="K45" s="18" t="s">
        <v>27</v>
      </c>
      <c r="L45" s="26">
        <v>41</v>
      </c>
      <c r="M45" s="107">
        <f t="shared" si="0"/>
        <v>16</v>
      </c>
      <c r="N45" s="107">
        <f t="shared" si="1"/>
        <v>0</v>
      </c>
      <c r="O45" s="18" t="s">
        <v>38</v>
      </c>
      <c r="P45" s="18" t="s">
        <v>46</v>
      </c>
      <c r="Q45" s="108">
        <v>40283</v>
      </c>
      <c r="R45" s="108">
        <v>30873</v>
      </c>
      <c r="S45" s="109"/>
    </row>
    <row r="46" s="81" customFormat="1" ht="24" customHeight="1" spans="1:19">
      <c r="A46" s="106">
        <v>41</v>
      </c>
      <c r="B46" s="18" t="s">
        <v>181</v>
      </c>
      <c r="C46" s="34" t="s">
        <v>182</v>
      </c>
      <c r="D46" s="34" t="s">
        <v>154</v>
      </c>
      <c r="E46" s="18" t="s">
        <v>31</v>
      </c>
      <c r="F46" s="18" t="s">
        <v>183</v>
      </c>
      <c r="G46" s="18" t="s">
        <v>184</v>
      </c>
      <c r="H46" s="22" t="s">
        <v>113</v>
      </c>
      <c r="I46" s="22" t="s">
        <v>114</v>
      </c>
      <c r="J46" s="106" t="s">
        <v>89</v>
      </c>
      <c r="K46" s="18" t="s">
        <v>37</v>
      </c>
      <c r="L46" s="26">
        <v>22</v>
      </c>
      <c r="M46" s="107">
        <f t="shared" si="0"/>
        <v>0</v>
      </c>
      <c r="N46" s="107">
        <f t="shared" si="1"/>
        <v>9</v>
      </c>
      <c r="O46" s="18" t="s">
        <v>38</v>
      </c>
      <c r="P46" s="18" t="s">
        <v>39</v>
      </c>
      <c r="Q46" s="108">
        <v>45847</v>
      </c>
      <c r="R46" s="108">
        <v>37750</v>
      </c>
      <c r="S46" s="109"/>
    </row>
    <row r="47" s="81" customFormat="1" ht="24" customHeight="1" spans="1:19">
      <c r="A47" s="106">
        <v>42</v>
      </c>
      <c r="B47" s="18" t="s">
        <v>185</v>
      </c>
      <c r="C47" s="34" t="s">
        <v>186</v>
      </c>
      <c r="D47" s="34" t="s">
        <v>154</v>
      </c>
      <c r="E47" s="18" t="s">
        <v>31</v>
      </c>
      <c r="F47" s="18" t="s">
        <v>111</v>
      </c>
      <c r="G47" s="18" t="s">
        <v>187</v>
      </c>
      <c r="H47" s="22" t="s">
        <v>113</v>
      </c>
      <c r="I47" s="22" t="s">
        <v>114</v>
      </c>
      <c r="J47" s="106" t="s">
        <v>36</v>
      </c>
      <c r="K47" s="18" t="s">
        <v>37</v>
      </c>
      <c r="L47" s="26">
        <v>25</v>
      </c>
      <c r="M47" s="107">
        <f t="shared" si="0"/>
        <v>0</v>
      </c>
      <c r="N47" s="107">
        <f t="shared" si="1"/>
        <v>5</v>
      </c>
      <c r="O47" s="18" t="s">
        <v>38</v>
      </c>
      <c r="P47" s="18" t="s">
        <v>39</v>
      </c>
      <c r="Q47" s="108">
        <v>45965</v>
      </c>
      <c r="R47" s="108">
        <v>36771</v>
      </c>
      <c r="S47" s="109"/>
    </row>
    <row r="48" s="81" customFormat="1" ht="24" customHeight="1" spans="1:19">
      <c r="A48" s="106">
        <v>43</v>
      </c>
      <c r="B48" s="18" t="s">
        <v>188</v>
      </c>
      <c r="C48" s="119" t="s">
        <v>189</v>
      </c>
      <c r="D48" s="34" t="s">
        <v>190</v>
      </c>
      <c r="E48" s="18" t="s">
        <v>31</v>
      </c>
      <c r="F48" s="18" t="s">
        <v>191</v>
      </c>
      <c r="G48" s="18" t="s">
        <v>192</v>
      </c>
      <c r="H48" s="18" t="s">
        <v>34</v>
      </c>
      <c r="I48" s="18" t="s">
        <v>35</v>
      </c>
      <c r="J48" s="107" t="s">
        <v>25</v>
      </c>
      <c r="K48" s="18" t="s">
        <v>27</v>
      </c>
      <c r="L48" s="26">
        <v>37</v>
      </c>
      <c r="M48" s="107">
        <f t="shared" si="0"/>
        <v>3</v>
      </c>
      <c r="N48" s="107">
        <f t="shared" si="1"/>
        <v>11</v>
      </c>
      <c r="O48" s="18" t="s">
        <v>94</v>
      </c>
      <c r="P48" s="18" t="s">
        <v>28</v>
      </c>
      <c r="Q48" s="108">
        <v>44678</v>
      </c>
      <c r="R48" s="108">
        <v>32531</v>
      </c>
      <c r="S48" s="109"/>
    </row>
    <row r="49" s="81" customFormat="1" ht="24" customHeight="1" spans="1:19">
      <c r="A49" s="106">
        <v>44</v>
      </c>
      <c r="B49" s="18" t="s">
        <v>193</v>
      </c>
      <c r="C49" s="119" t="s">
        <v>98</v>
      </c>
      <c r="D49" s="34" t="s">
        <v>190</v>
      </c>
      <c r="E49" s="18" t="s">
        <v>31</v>
      </c>
      <c r="F49" s="34" t="s">
        <v>194</v>
      </c>
      <c r="G49" s="34" t="s">
        <v>128</v>
      </c>
      <c r="H49" s="120" t="s">
        <v>25</v>
      </c>
      <c r="I49" s="34" t="s">
        <v>25</v>
      </c>
      <c r="J49" s="107" t="s">
        <v>25</v>
      </c>
      <c r="K49" s="18" t="s">
        <v>27</v>
      </c>
      <c r="L49" s="26">
        <v>41</v>
      </c>
      <c r="M49" s="107">
        <f t="shared" si="0"/>
        <v>5</v>
      </c>
      <c r="N49" s="107">
        <f t="shared" si="1"/>
        <v>8</v>
      </c>
      <c r="O49" s="18" t="s">
        <v>94</v>
      </c>
      <c r="P49" s="18" t="s">
        <v>28</v>
      </c>
      <c r="Q49" s="108">
        <v>44030</v>
      </c>
      <c r="R49" s="108">
        <v>31014</v>
      </c>
      <c r="S49" s="109"/>
    </row>
    <row r="50" s="81" customFormat="1" ht="24" customHeight="1" spans="1:19">
      <c r="A50" s="106">
        <v>45</v>
      </c>
      <c r="B50" s="18" t="s">
        <v>195</v>
      </c>
      <c r="C50" s="34" t="s">
        <v>196</v>
      </c>
      <c r="D50" s="34" t="s">
        <v>190</v>
      </c>
      <c r="E50" s="18" t="s">
        <v>31</v>
      </c>
      <c r="F50" s="18" t="s">
        <v>197</v>
      </c>
      <c r="G50" s="18" t="s">
        <v>25</v>
      </c>
      <c r="H50" s="18" t="s">
        <v>128</v>
      </c>
      <c r="I50" s="18" t="s">
        <v>25</v>
      </c>
      <c r="J50" s="107" t="s">
        <v>25</v>
      </c>
      <c r="K50" s="18" t="s">
        <v>27</v>
      </c>
      <c r="L50" s="26">
        <v>44</v>
      </c>
      <c r="M50" s="107">
        <f t="shared" si="0"/>
        <v>5</v>
      </c>
      <c r="N50" s="107">
        <f t="shared" si="1"/>
        <v>5</v>
      </c>
      <c r="O50" s="18" t="s">
        <v>38</v>
      </c>
      <c r="P50" s="18" t="s">
        <v>198</v>
      </c>
      <c r="Q50" s="108">
        <v>44139</v>
      </c>
      <c r="R50" s="108">
        <v>29933</v>
      </c>
      <c r="S50" s="109"/>
    </row>
    <row r="51" s="81" customFormat="1" ht="24" customHeight="1" spans="1:19">
      <c r="A51" s="106">
        <v>46</v>
      </c>
      <c r="B51" s="18" t="s">
        <v>199</v>
      </c>
      <c r="C51" s="34" t="s">
        <v>200</v>
      </c>
      <c r="D51" s="34" t="s">
        <v>190</v>
      </c>
      <c r="E51" s="18" t="s">
        <v>31</v>
      </c>
      <c r="F51" s="18" t="s">
        <v>201</v>
      </c>
      <c r="G51" s="18" t="s">
        <v>202</v>
      </c>
      <c r="H51" s="18" t="s">
        <v>35</v>
      </c>
      <c r="I51" s="18" t="s">
        <v>35</v>
      </c>
      <c r="J51" s="95" t="s">
        <v>89</v>
      </c>
      <c r="K51" s="18" t="s">
        <v>27</v>
      </c>
      <c r="L51" s="26">
        <v>25</v>
      </c>
      <c r="M51" s="107">
        <f t="shared" si="0"/>
        <v>0</v>
      </c>
      <c r="N51" s="107">
        <f t="shared" si="1"/>
        <v>0</v>
      </c>
      <c r="O51" s="18" t="s">
        <v>38</v>
      </c>
      <c r="P51" s="18" t="s">
        <v>198</v>
      </c>
      <c r="Q51" s="108">
        <v>46114</v>
      </c>
      <c r="R51" s="108">
        <v>36772</v>
      </c>
      <c r="S51" s="109"/>
    </row>
    <row r="52" s="81" customFormat="1" ht="24" customHeight="1" spans="1:19">
      <c r="A52" s="106">
        <v>47</v>
      </c>
      <c r="B52" s="18" t="s">
        <v>203</v>
      </c>
      <c r="C52" s="34" t="s">
        <v>204</v>
      </c>
      <c r="D52" s="34" t="s">
        <v>190</v>
      </c>
      <c r="E52" s="18" t="s">
        <v>31</v>
      </c>
      <c r="F52" s="18" t="s">
        <v>205</v>
      </c>
      <c r="G52" s="18" t="s">
        <v>206</v>
      </c>
      <c r="H52" s="18" t="s">
        <v>35</v>
      </c>
      <c r="I52" s="18" t="s">
        <v>35</v>
      </c>
      <c r="J52" s="106" t="s">
        <v>36</v>
      </c>
      <c r="K52" s="18" t="s">
        <v>27</v>
      </c>
      <c r="L52" s="26">
        <v>29</v>
      </c>
      <c r="M52" s="107">
        <f t="shared" si="0"/>
        <v>0</v>
      </c>
      <c r="N52" s="107">
        <f t="shared" si="1"/>
        <v>0</v>
      </c>
      <c r="O52" s="18" t="s">
        <v>38</v>
      </c>
      <c r="P52" s="18" t="s">
        <v>198</v>
      </c>
      <c r="Q52" s="108">
        <v>46114</v>
      </c>
      <c r="R52" s="108">
        <v>35237</v>
      </c>
      <c r="S52" s="109"/>
    </row>
    <row r="53" s="81" customFormat="1" ht="24" customHeight="1" spans="1:19">
      <c r="A53" s="106">
        <v>48</v>
      </c>
      <c r="B53" s="18" t="s">
        <v>207</v>
      </c>
      <c r="C53" s="34" t="s">
        <v>204</v>
      </c>
      <c r="D53" s="34" t="s">
        <v>190</v>
      </c>
      <c r="E53" s="18" t="s">
        <v>31</v>
      </c>
      <c r="F53" s="121" t="s">
        <v>208</v>
      </c>
      <c r="G53" s="18" t="s">
        <v>209</v>
      </c>
      <c r="H53" s="18" t="s">
        <v>55</v>
      </c>
      <c r="I53" s="18" t="s">
        <v>25</v>
      </c>
      <c r="J53" s="107" t="s">
        <v>25</v>
      </c>
      <c r="K53" s="18" t="s">
        <v>27</v>
      </c>
      <c r="L53" s="26">
        <v>32</v>
      </c>
      <c r="M53" s="107">
        <f t="shared" si="0"/>
        <v>5</v>
      </c>
      <c r="N53" s="107">
        <f t="shared" si="1"/>
        <v>8</v>
      </c>
      <c r="O53" s="18" t="s">
        <v>38</v>
      </c>
      <c r="P53" s="18" t="s">
        <v>198</v>
      </c>
      <c r="Q53" s="108">
        <v>44030</v>
      </c>
      <c r="R53" s="108">
        <v>34353</v>
      </c>
      <c r="S53" s="109"/>
    </row>
    <row r="54" s="81" customFormat="1" ht="24" customHeight="1" spans="1:19">
      <c r="A54" s="106">
        <v>49</v>
      </c>
      <c r="B54" s="18" t="s">
        <v>210</v>
      </c>
      <c r="C54" s="34" t="s">
        <v>211</v>
      </c>
      <c r="D54" s="34" t="s">
        <v>190</v>
      </c>
      <c r="E54" s="18" t="s">
        <v>23</v>
      </c>
      <c r="F54" s="18" t="s">
        <v>212</v>
      </c>
      <c r="G54" s="18" t="s">
        <v>25</v>
      </c>
      <c r="H54" s="18" t="s">
        <v>26</v>
      </c>
      <c r="I54" s="18" t="s">
        <v>25</v>
      </c>
      <c r="J54" s="107" t="s">
        <v>25</v>
      </c>
      <c r="K54" s="18" t="s">
        <v>27</v>
      </c>
      <c r="L54" s="26">
        <v>47</v>
      </c>
      <c r="M54" s="107">
        <f t="shared" si="0"/>
        <v>0</v>
      </c>
      <c r="N54" s="107">
        <f t="shared" si="1"/>
        <v>6</v>
      </c>
      <c r="O54" s="18" t="s">
        <v>38</v>
      </c>
      <c r="P54" s="18" t="s">
        <v>198</v>
      </c>
      <c r="Q54" s="108">
        <v>45933</v>
      </c>
      <c r="R54" s="108">
        <v>28671</v>
      </c>
      <c r="S54" s="109"/>
    </row>
    <row r="55" s="81" customFormat="1" ht="24" customHeight="1" spans="1:19">
      <c r="A55" s="106">
        <v>50</v>
      </c>
      <c r="B55" s="18" t="s">
        <v>213</v>
      </c>
      <c r="C55" s="34" t="s">
        <v>214</v>
      </c>
      <c r="D55" s="34" t="s">
        <v>190</v>
      </c>
      <c r="E55" s="18" t="s">
        <v>31</v>
      </c>
      <c r="F55" s="18" t="s">
        <v>215</v>
      </c>
      <c r="G55" s="18" t="s">
        <v>88</v>
      </c>
      <c r="H55" s="18" t="s">
        <v>34</v>
      </c>
      <c r="I55" s="18" t="s">
        <v>35</v>
      </c>
      <c r="J55" s="95" t="s">
        <v>89</v>
      </c>
      <c r="K55" s="18" t="s">
        <v>27</v>
      </c>
      <c r="L55" s="26">
        <v>42</v>
      </c>
      <c r="M55" s="107">
        <f t="shared" si="0"/>
        <v>5</v>
      </c>
      <c r="N55" s="107">
        <f t="shared" si="1"/>
        <v>8</v>
      </c>
      <c r="O55" s="18" t="s">
        <v>38</v>
      </c>
      <c r="P55" s="18" t="s">
        <v>198</v>
      </c>
      <c r="Q55" s="108">
        <v>44030</v>
      </c>
      <c r="R55" s="108">
        <v>30462</v>
      </c>
      <c r="S55" s="109"/>
    </row>
    <row r="56" s="81" customFormat="1" ht="24" customHeight="1" spans="1:19">
      <c r="A56" s="106">
        <v>51</v>
      </c>
      <c r="B56" s="18" t="s">
        <v>216</v>
      </c>
      <c r="C56" s="34" t="s">
        <v>217</v>
      </c>
      <c r="D56" s="34" t="s">
        <v>190</v>
      </c>
      <c r="E56" s="18" t="s">
        <v>31</v>
      </c>
      <c r="F56" s="18" t="s">
        <v>218</v>
      </c>
      <c r="G56" s="18" t="s">
        <v>118</v>
      </c>
      <c r="H56" s="22" t="s">
        <v>113</v>
      </c>
      <c r="I56" s="22" t="s">
        <v>219</v>
      </c>
      <c r="J56" s="106" t="s">
        <v>36</v>
      </c>
      <c r="K56" s="18" t="s">
        <v>27</v>
      </c>
      <c r="L56" s="26">
        <v>25</v>
      </c>
      <c r="M56" s="107">
        <f t="shared" si="0"/>
        <v>0</v>
      </c>
      <c r="N56" s="107">
        <f t="shared" si="1"/>
        <v>6</v>
      </c>
      <c r="O56" s="18" t="s">
        <v>38</v>
      </c>
      <c r="P56" s="18" t="s">
        <v>198</v>
      </c>
      <c r="Q56" s="108">
        <v>45933</v>
      </c>
      <c r="R56" s="108">
        <v>36960</v>
      </c>
      <c r="S56" s="109"/>
    </row>
    <row r="57" s="81" customFormat="1" ht="24" customHeight="1" spans="1:19">
      <c r="A57" s="106">
        <v>52</v>
      </c>
      <c r="B57" s="18" t="s">
        <v>220</v>
      </c>
      <c r="C57" s="34" t="s">
        <v>217</v>
      </c>
      <c r="D57" s="34" t="s">
        <v>190</v>
      </c>
      <c r="E57" s="18" t="s">
        <v>23</v>
      </c>
      <c r="F57" s="18" t="s">
        <v>221</v>
      </c>
      <c r="G57" s="18" t="s">
        <v>222</v>
      </c>
      <c r="H57" s="22" t="s">
        <v>113</v>
      </c>
      <c r="I57" s="22" t="s">
        <v>219</v>
      </c>
      <c r="J57" s="106" t="s">
        <v>36</v>
      </c>
      <c r="K57" s="18" t="s">
        <v>27</v>
      </c>
      <c r="L57" s="26">
        <v>25</v>
      </c>
      <c r="M57" s="107">
        <f t="shared" si="0"/>
        <v>0</v>
      </c>
      <c r="N57" s="107">
        <f t="shared" si="1"/>
        <v>9</v>
      </c>
      <c r="O57" s="18" t="s">
        <v>38</v>
      </c>
      <c r="P57" s="18" t="s">
        <v>198</v>
      </c>
      <c r="Q57" s="108">
        <v>45838</v>
      </c>
      <c r="R57" s="108">
        <v>37142</v>
      </c>
      <c r="S57" s="109"/>
    </row>
    <row r="58" s="81" customFormat="1" ht="24" customHeight="1" spans="1:19">
      <c r="A58" s="106">
        <v>53</v>
      </c>
      <c r="B58" s="18" t="s">
        <v>223</v>
      </c>
      <c r="C58" s="34" t="s">
        <v>217</v>
      </c>
      <c r="D58" s="34" t="s">
        <v>190</v>
      </c>
      <c r="E58" s="18" t="s">
        <v>23</v>
      </c>
      <c r="F58" s="34" t="s">
        <v>224</v>
      </c>
      <c r="G58" s="34" t="s">
        <v>225</v>
      </c>
      <c r="H58" s="22" t="s">
        <v>113</v>
      </c>
      <c r="I58" s="22" t="s">
        <v>219</v>
      </c>
      <c r="J58" s="106" t="s">
        <v>36</v>
      </c>
      <c r="K58" s="18" t="s">
        <v>27</v>
      </c>
      <c r="L58" s="26">
        <v>23</v>
      </c>
      <c r="M58" s="107">
        <f t="shared" si="0"/>
        <v>0</v>
      </c>
      <c r="N58" s="107">
        <f t="shared" si="1"/>
        <v>0</v>
      </c>
      <c r="O58" s="18" t="s">
        <v>38</v>
      </c>
      <c r="P58" s="18" t="s">
        <v>198</v>
      </c>
      <c r="Q58" s="108">
        <v>46128</v>
      </c>
      <c r="R58" s="108">
        <v>37560</v>
      </c>
      <c r="S58" s="109"/>
    </row>
    <row r="61" ht="28" customHeight="1" spans="1:19">
      <c r="B61" s="122" t="s">
        <v>226</v>
      </c>
      <c r="C61" s="122"/>
      <c r="D61" s="122"/>
      <c r="E61" s="122"/>
      <c r="F61" s="122"/>
      <c r="G61" s="122"/>
      <c r="H61" s="122"/>
    </row>
    <row r="62" ht="17.4" spans="1:19">
      <c r="B62" s="123"/>
      <c r="C62" s="123"/>
      <c r="D62" s="124"/>
      <c r="E62" s="124"/>
      <c r="F62" s="124"/>
      <c r="G62" s="96"/>
      <c r="H62" s="96"/>
    </row>
    <row r="63" ht="17.4" spans="1:19">
      <c r="B63" s="125" t="s">
        <v>227</v>
      </c>
      <c r="C63" s="125"/>
      <c r="D63" s="125"/>
      <c r="E63" s="126"/>
      <c r="F63" s="125" t="s">
        <v>228</v>
      </c>
      <c r="G63" s="125"/>
      <c r="H63" s="125"/>
    </row>
    <row r="64" ht="17.4" spans="1:19">
      <c r="B64" s="127" t="s">
        <v>229</v>
      </c>
      <c r="C64" s="127">
        <v>0</v>
      </c>
      <c r="D64" s="128">
        <f t="shared" ref="D64:D70" si="2">C64/$C$70</f>
        <v>0</v>
      </c>
      <c r="E64" s="129"/>
      <c r="F64" s="130" t="s">
        <v>230</v>
      </c>
      <c r="G64" s="130">
        <f>COUNTIFS(L6:L62,"&gt;=20",L6:L62,"&lt;=25")</f>
        <v>15</v>
      </c>
      <c r="H64" s="128">
        <f t="shared" ref="H64:H69" si="3">G64/$G$69</f>
        <v>0.283018867924528</v>
      </c>
    </row>
    <row r="65" ht="17.4" spans="2:8">
      <c r="B65" s="127" t="s">
        <v>231</v>
      </c>
      <c r="C65" s="127">
        <v>0</v>
      </c>
      <c r="D65" s="128">
        <f t="shared" si="2"/>
        <v>0</v>
      </c>
      <c r="E65" s="129"/>
      <c r="F65" s="130" t="s">
        <v>232</v>
      </c>
      <c r="G65" s="130">
        <f>COUNTIFS(L6:L62,"&gt;=26",L6:L62,"&lt;=30")</f>
        <v>14</v>
      </c>
      <c r="H65" s="128">
        <f t="shared" si="3"/>
        <v>0.264150943396226</v>
      </c>
    </row>
    <row r="66" ht="17.4" spans="2:8">
      <c r="B66" s="127" t="s">
        <v>233</v>
      </c>
      <c r="C66" s="127">
        <f>COUNTIF(I6:I66,"一本")</f>
        <v>3</v>
      </c>
      <c r="D66" s="128">
        <f t="shared" si="2"/>
        <v>0.0566037735849057</v>
      </c>
      <c r="E66" s="96"/>
      <c r="F66" s="130" t="s">
        <v>234</v>
      </c>
      <c r="G66" s="130">
        <f>COUNTIFS(L6:L62,"&gt;=31",L6:L62,"&lt;=35")</f>
        <v>6</v>
      </c>
      <c r="H66" s="128">
        <f t="shared" si="3"/>
        <v>0.113207547169811</v>
      </c>
    </row>
    <row r="67" ht="17.4" spans="2:8">
      <c r="B67" s="127" t="s">
        <v>235</v>
      </c>
      <c r="C67" s="127">
        <f>COUNTIF(I6:I66,"二本")</f>
        <v>6</v>
      </c>
      <c r="D67" s="128">
        <f t="shared" si="2"/>
        <v>0.113207547169811</v>
      </c>
      <c r="E67" s="96"/>
      <c r="F67" s="130" t="s">
        <v>236</v>
      </c>
      <c r="G67" s="130">
        <f>COUNTIFS(L6:L62,"&gt;=36",L6:L62,"&lt;=40")</f>
        <v>6</v>
      </c>
      <c r="H67" s="128">
        <f t="shared" si="3"/>
        <v>0.113207547169811</v>
      </c>
    </row>
    <row r="68" ht="17.4" spans="2:8">
      <c r="B68" s="127" t="s">
        <v>35</v>
      </c>
      <c r="C68" s="127">
        <f>COUNTIF(I6:I66,"专科")</f>
        <v>15</v>
      </c>
      <c r="D68" s="128">
        <f t="shared" si="2"/>
        <v>0.283018867924528</v>
      </c>
      <c r="E68" s="124"/>
      <c r="F68" s="130" t="s">
        <v>237</v>
      </c>
      <c r="G68" s="130">
        <f>COUNTIFS(L6:L62,"&gt;=40")</f>
        <v>12</v>
      </c>
      <c r="H68" s="128">
        <f t="shared" si="3"/>
        <v>0.226415094339623</v>
      </c>
    </row>
    <row r="69" ht="17.4" spans="2:8">
      <c r="B69" s="127" t="s">
        <v>238</v>
      </c>
      <c r="C69" s="127">
        <f>COUNTIF(I6:I66,"/")</f>
        <v>29</v>
      </c>
      <c r="D69" s="128">
        <f t="shared" si="2"/>
        <v>0.547169811320755</v>
      </c>
      <c r="E69" s="123"/>
      <c r="F69" s="130" t="s">
        <v>239</v>
      </c>
      <c r="G69" s="130">
        <f>SUM(G64:G68)</f>
        <v>53</v>
      </c>
      <c r="H69" s="128">
        <f t="shared" si="3"/>
        <v>1</v>
      </c>
    </row>
    <row r="70" ht="17.4" spans="2:8">
      <c r="B70" s="130" t="s">
        <v>239</v>
      </c>
      <c r="C70" s="130">
        <f>SUM(C64:C69)</f>
        <v>53</v>
      </c>
      <c r="D70" s="128">
        <f t="shared" si="2"/>
        <v>1</v>
      </c>
      <c r="E70" s="123"/>
    </row>
    <row r="71" ht="17.4" spans="2:8">
      <c r="E71" s="96"/>
      <c r="F71" s="125" t="s">
        <v>240</v>
      </c>
      <c r="G71" s="125"/>
      <c r="H71" s="125"/>
    </row>
    <row r="72" ht="17.4" spans="2:8">
      <c r="B72" s="125" t="s">
        <v>241</v>
      </c>
      <c r="C72" s="125"/>
      <c r="D72" s="125"/>
      <c r="E72" s="96"/>
      <c r="F72" s="131" t="s">
        <v>242</v>
      </c>
      <c r="G72" s="131"/>
      <c r="H72" s="132">
        <f>AVERAGE(L6:L62)</f>
        <v>31.9811320754717</v>
      </c>
    </row>
    <row r="73" ht="17.4" spans="2:8">
      <c r="B73" s="127" t="s">
        <v>27</v>
      </c>
      <c r="C73" s="127">
        <f>COUNTIF(K6:K66,"男")</f>
        <v>36</v>
      </c>
      <c r="D73" s="133">
        <f>C73/C75</f>
        <v>0.679245283018868</v>
      </c>
      <c r="E73" s="96"/>
      <c r="F73" s="134" t="s">
        <v>243</v>
      </c>
      <c r="G73" s="134"/>
      <c r="H73" s="134">
        <f>MAX(L6:L62)</f>
        <v>53</v>
      </c>
    </row>
    <row r="74" ht="17.4" spans="2:8">
      <c r="B74" s="127" t="s">
        <v>37</v>
      </c>
      <c r="C74" s="127">
        <f>COUNTIF(K6:K66,"女")</f>
        <v>17</v>
      </c>
      <c r="D74" s="133">
        <f>C74/C75</f>
        <v>0.320754716981132</v>
      </c>
      <c r="E74" s="96"/>
      <c r="F74" s="134" t="s">
        <v>244</v>
      </c>
      <c r="G74" s="134"/>
      <c r="H74" s="135">
        <f>AVERAGE(M6:M62)</f>
        <v>2.22641509433962</v>
      </c>
    </row>
    <row r="75" ht="17.4" spans="2:8">
      <c r="B75" s="127" t="s">
        <v>245</v>
      </c>
      <c r="C75" s="127">
        <f>C73+C74</f>
        <v>53</v>
      </c>
      <c r="D75" s="133">
        <f>SUM(D73:D74)</f>
        <v>1</v>
      </c>
      <c r="E75" s="96"/>
      <c r="F75" s="134" t="s">
        <v>246</v>
      </c>
      <c r="G75" s="134"/>
      <c r="H75" s="134">
        <f>MAX(M6:M62)</f>
        <v>16</v>
      </c>
    </row>
  </sheetData>
  <autoFilter xmlns:etc="http://www.wps.cn/officeDocument/2017/etCustomData" ref="A5:AB58" etc:filterBottomFollowUsedRange="0">
    <extLst/>
  </autoFilter>
  <mergeCells count="11">
    <mergeCell ref="A1:T1"/>
    <mergeCell ref="R2:T2"/>
    <mergeCell ref="B61:H61"/>
    <mergeCell ref="B63:D63"/>
    <mergeCell ref="F63:H63"/>
    <mergeCell ref="F71:H71"/>
    <mergeCell ref="B72:D72"/>
    <mergeCell ref="F72:G72"/>
    <mergeCell ref="F73:G73"/>
    <mergeCell ref="F74:G74"/>
    <mergeCell ref="F75:G7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U22" sqref="U22"/>
    </sheetView>
  </sheetViews>
  <sheetFormatPr defaultColWidth="9.07407407407407" defaultRowHeight="18" customHeight="1"/>
  <cols>
    <col min="1" max="1" width="9.74074074074074" style="47" customWidth="1"/>
    <col min="2" max="2" width="10.3425925925926" style="47" customWidth="1"/>
    <col min="3" max="3" width="37.1759259259259" style="3" customWidth="1"/>
    <col min="4" max="4" width="13.6666666666667" style="3" customWidth="1"/>
    <col min="5" max="7" width="7.2037037037037" style="48" customWidth="1"/>
    <col min="8" max="8" width="7.33333333333333" style="47" customWidth="1"/>
    <col min="9" max="16" width="7.2037037037037" style="47" customWidth="1"/>
    <col min="17" max="16384" width="9.07407407407407" style="47"/>
  </cols>
  <sheetData>
    <row r="1" ht="31" customHeight="1" spans="1:16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="46" customFormat="1" customHeight="1" spans="1:16">
      <c r="A2" s="49" t="s">
        <v>248</v>
      </c>
      <c r="B2" s="50" t="s">
        <v>249</v>
      </c>
      <c r="C2" s="51"/>
      <c r="D2" s="52" t="s">
        <v>250</v>
      </c>
      <c r="E2" s="53" t="s">
        <v>251</v>
      </c>
      <c r="F2" s="53" t="s">
        <v>252</v>
      </c>
      <c r="G2" s="53" t="s">
        <v>253</v>
      </c>
      <c r="H2" s="53" t="s">
        <v>254</v>
      </c>
      <c r="I2" s="53" t="s">
        <v>255</v>
      </c>
      <c r="J2" s="53" t="s">
        <v>256</v>
      </c>
      <c r="K2" s="53" t="s">
        <v>257</v>
      </c>
      <c r="L2" s="53" t="s">
        <v>258</v>
      </c>
      <c r="M2" s="53" t="s">
        <v>259</v>
      </c>
      <c r="N2" s="53" t="s">
        <v>260</v>
      </c>
      <c r="O2" s="53" t="s">
        <v>261</v>
      </c>
      <c r="P2" s="54" t="s">
        <v>262</v>
      </c>
    </row>
    <row r="3" customHeight="1" spans="1:16">
      <c r="A3" s="55"/>
      <c r="B3" s="56"/>
      <c r="C3" s="57"/>
      <c r="D3" s="58"/>
      <c r="E3" s="59" t="s">
        <v>263</v>
      </c>
      <c r="F3" s="59" t="s">
        <v>263</v>
      </c>
      <c r="G3" s="59" t="s">
        <v>263</v>
      </c>
      <c r="H3" s="59" t="s">
        <v>264</v>
      </c>
      <c r="I3" s="59" t="s">
        <v>264</v>
      </c>
      <c r="J3" s="59" t="s">
        <v>264</v>
      </c>
      <c r="K3" s="59" t="s">
        <v>264</v>
      </c>
      <c r="L3" s="59" t="s">
        <v>264</v>
      </c>
      <c r="M3" s="59" t="s">
        <v>264</v>
      </c>
      <c r="N3" s="59" t="s">
        <v>264</v>
      </c>
      <c r="O3" s="59" t="s">
        <v>264</v>
      </c>
      <c r="P3" s="60" t="s">
        <v>264</v>
      </c>
    </row>
    <row r="4" customHeight="1" spans="1:16">
      <c r="A4" s="61" t="s">
        <v>22</v>
      </c>
      <c r="B4" s="62" t="s">
        <v>265</v>
      </c>
      <c r="C4" s="63" t="s">
        <v>266</v>
      </c>
      <c r="D4" s="63">
        <v>48</v>
      </c>
      <c r="E4" s="63" cm="1">
        <f t="array" ref="E4">SUM(COUNTIFS(人员调整计划!$E:$E,$A4,人员调整计划!BL:BL,{"在编","调岗","优化","新增"}))</f>
        <v>52</v>
      </c>
      <c r="F4" s="63" cm="1">
        <f t="array" ref="F4">SUM(COUNTIFS(人员调整计划!$E:$E,$A4,人员调整计划!BM:BM,{"在编","调岗","优化","新增"}))</f>
        <v>52</v>
      </c>
      <c r="G4" s="63" cm="1">
        <f t="array" ref="G4">SUM(COUNTIFS(人员调整计划!$E:$E,$A4,人员调整计划!BN:BN,{"在编","调岗","优化","新增"}))</f>
        <v>52</v>
      </c>
      <c r="H4" s="63" cm="1">
        <f t="array" ref="H4">SUM(COUNTIFS(人员调整计划!$E:$E,$A4,人员调整计划!BO:BO,{"在编","调岗","优化","新增"}))</f>
        <v>57</v>
      </c>
      <c r="I4" s="63" cm="1">
        <f t="array" ref="I4">SUM(COUNTIFS(人员调整计划!$E:$E,$A4,人员调整计划!BP:BP,{"在编","调岗","优化","新增"}))</f>
        <v>63</v>
      </c>
      <c r="J4" s="63" cm="1">
        <f t="array" ref="J4">SUM(COUNTIFS(人员调整计划!$E:$E,$A4,人员调整计划!BQ:BQ,{"在编","调岗","优化","新增"}))</f>
        <v>59</v>
      </c>
      <c r="K4" s="63" cm="1">
        <f t="array" ref="K4">SUM(COUNTIFS(人员调整计划!$E:$E,$A4,人员调整计划!BR:BR,{"在编","调岗","优化","新增"}))</f>
        <v>56</v>
      </c>
      <c r="L4" s="63" cm="1">
        <f t="array" ref="L4">SUM(COUNTIFS(人员调整计划!$E:$E,$A4,人员调整计划!BS:BS,{"在编","调岗","优化","新增"}))</f>
        <v>48</v>
      </c>
      <c r="M4" s="63" cm="1">
        <f t="array" ref="M4">SUM(COUNTIFS(人员调整计划!$E:$E,$A4,人员调整计划!BT:BT,{"在编","调岗","优化","新增"}))</f>
        <v>48</v>
      </c>
      <c r="N4" s="63" cm="1">
        <f t="array" ref="N4">SUM(COUNTIFS(人员调整计划!$E:$E,$A4,人员调整计划!BU:BU,{"在编","调岗","优化","新增"}))</f>
        <v>48</v>
      </c>
      <c r="O4" s="63" cm="1">
        <f t="array" ref="O4">SUM(COUNTIFS(人员调整计划!$E:$E,$A4,人员调整计划!BV:BV,{"在编","调岗","优化","新增"}))</f>
        <v>48</v>
      </c>
      <c r="P4" s="64" cm="1">
        <f t="array" ref="P4">SUM(COUNTIFS(人员调整计划!$E:$E,$A4,人员调整计划!BW:BW,{"在编","调岗","优化","新增"}))</f>
        <v>48</v>
      </c>
    </row>
    <row r="5" customHeight="1" spans="1:16">
      <c r="A5" s="65"/>
      <c r="B5" s="66"/>
      <c r="C5" s="67" t="s">
        <v>267</v>
      </c>
      <c r="D5" s="67">
        <v>11</v>
      </c>
      <c r="E5" s="68" cm="1">
        <f t="array" ref="E5">SUM(COUNTIFS(人员调整计划!$E:$E,$A4,人员调整计划!BL:BL,{"优化"}))</f>
        <v>0</v>
      </c>
      <c r="F5" s="68" cm="1">
        <f t="array" ref="F5">SUM(COUNTIFS(人员调整计划!$E:$E,$A4,人员调整计划!BM:BM,{"优化"}))</f>
        <v>0</v>
      </c>
      <c r="G5" s="68" cm="1">
        <f t="array" ref="G5">SUM(COUNTIFS(人员调整计划!$E:$E,$A4,人员调整计划!BN:BN,{"优化"}))</f>
        <v>0</v>
      </c>
      <c r="H5" s="68" cm="1">
        <f t="array" ref="H5">SUM(COUNTIFS(人员调整计划!$E:$E,$A4,人员调整计划!BO:BO,{"优化"}))</f>
        <v>2</v>
      </c>
      <c r="I5" s="68" cm="1">
        <f t="array" ref="I5">SUM(COUNTIFS(人员调整计划!$E:$E,$A4,人员调整计划!BP:BP,{"优化"}))</f>
        <v>4</v>
      </c>
      <c r="J5" s="68" cm="1">
        <f t="array" ref="J5">SUM(COUNTIFS(人员调整计划!$E:$E,$A4,人员调整计划!BQ:BQ,{"优化"}))</f>
        <v>0</v>
      </c>
      <c r="K5" s="68" cm="1">
        <f t="array" ref="K5">SUM(COUNTIFS(人员调整计划!$E:$E,$A4,人员调整计划!BR:BR,{"优化"}))</f>
        <v>5</v>
      </c>
      <c r="L5" s="68" cm="1">
        <f t="array" ref="L5">SUM(COUNTIFS(人员调整计划!$E:$E,$A4,人员调整计划!BS:BS,{"优化"}))</f>
        <v>0</v>
      </c>
      <c r="M5" s="68" cm="1">
        <f t="array" ref="M5">SUM(COUNTIFS(人员调整计划!$E:$E,$A4,人员调整计划!BT:BT,{"优化"}))</f>
        <v>0</v>
      </c>
      <c r="N5" s="68" cm="1">
        <f t="array" ref="N5">SUM(COUNTIFS(人员调整计划!$E:$E,$A4,人员调整计划!BU:BU,{"优化"}))</f>
        <v>0</v>
      </c>
      <c r="O5" s="68" cm="1">
        <f t="array" ref="O5">SUM(COUNTIFS(人员调整计划!$E:$E,$A4,人员调整计划!BV:BV,{"优化"}))</f>
        <v>0</v>
      </c>
      <c r="P5" s="69" cm="1">
        <f t="array" ref="P5">SUM(COUNTIFS(人员调整计划!$E:$E,$A4,人员调整计划!BW:BW,{"优化"}))</f>
        <v>0</v>
      </c>
    </row>
    <row r="6" customHeight="1" spans="1:16">
      <c r="A6" s="65"/>
      <c r="B6" s="66"/>
      <c r="C6" s="67" t="s">
        <v>268</v>
      </c>
      <c r="D6" s="67">
        <v>7</v>
      </c>
      <c r="E6" s="68" cm="1">
        <f t="array" ref="E6">SUM(COUNTIFS(人员调整计划!$E:$E,$A4,人员调整计划!BL:BL,{"调岗"}))</f>
        <v>0</v>
      </c>
      <c r="F6" s="68" cm="1">
        <f t="array" ref="F6">SUM(COUNTIFS(人员调整计划!$E:$E,$A4,人员调整计划!BM:BM,{"调岗"}))</f>
        <v>0</v>
      </c>
      <c r="G6" s="68" cm="1">
        <f t="array" ref="G6">SUM(COUNTIFS(人员调整计划!$E:$E,$A4,人员调整计划!BN:BN,{"调岗"}))</f>
        <v>0</v>
      </c>
      <c r="H6" s="68" cm="1">
        <f t="array" ref="H6">SUM(COUNTIFS(人员调整计划!$E:$E,$A4,人员调整计划!BO:BO,{"调岗"}))</f>
        <v>1</v>
      </c>
      <c r="I6" s="68" cm="1">
        <f t="array" ref="I6">SUM(COUNTIFS(人员调整计划!$E:$E,$A4,人员调整计划!BP:BP,{"调岗"}))</f>
        <v>0</v>
      </c>
      <c r="J6" s="68" cm="1">
        <f t="array" ref="J6">SUM(COUNTIFS(人员调整计划!$E:$E,$A4,人员调整计划!BQ:BQ,{"调岗"}))</f>
        <v>3</v>
      </c>
      <c r="K6" s="68" cm="1">
        <f t="array" ref="K6">SUM(COUNTIFS(人员调整计划!$E:$E,$A4,人员调整计划!BR:BR,{"调岗"}))</f>
        <v>3</v>
      </c>
      <c r="L6" s="68" cm="1">
        <f t="array" ref="L6">SUM(COUNTIFS(人员调整计划!$E:$E,$A4,人员调整计划!BS:BS,{"调岗"}))</f>
        <v>0</v>
      </c>
      <c r="M6" s="68" cm="1">
        <f t="array" ref="M6">SUM(COUNTIFS(人员调整计划!$E:$E,$A4,人员调整计划!BT:BT,{"调岗"}))</f>
        <v>0</v>
      </c>
      <c r="N6" s="68" cm="1">
        <f t="array" ref="N6">SUM(COUNTIFS(人员调整计划!$E:$E,$A4,人员调整计划!BU:BU,{"调岗"}))</f>
        <v>0</v>
      </c>
      <c r="O6" s="68" cm="1">
        <f t="array" ref="O6">SUM(COUNTIFS(人员调整计划!$E:$E,$A4,人员调整计划!BV:BV,{"调岗"}))</f>
        <v>0</v>
      </c>
      <c r="P6" s="69" cm="1">
        <f t="array" ref="P6">SUM(COUNTIFS(人员调整计划!$E:$E,$A4,人员调整计划!BW:BW,{"调岗"}))</f>
        <v>0</v>
      </c>
    </row>
    <row r="7" customHeight="1" spans="1:16">
      <c r="A7" s="65"/>
      <c r="B7" s="67"/>
      <c r="C7" s="67" t="s">
        <v>269</v>
      </c>
      <c r="D7" s="67">
        <v>14</v>
      </c>
      <c r="E7" s="68" cm="1">
        <f t="array" ref="E7">SUM(COUNTIFS(人员调整计划!$E:$E,$A4,人员调整计划!BL:BL,{"新增"}))</f>
        <v>0</v>
      </c>
      <c r="F7" s="68" cm="1">
        <f t="array" ref="F7">SUM(COUNTIFS(人员调整计划!$E:$E,$A4,人员调整计划!BM:BM,{"新增"}))</f>
        <v>0</v>
      </c>
      <c r="G7" s="68" cm="1">
        <f t="array" ref="G7">SUM(COUNTIFS(人员调整计划!$E:$E,$A4,人员调整计划!BN:BN,{"新增"}))</f>
        <v>0</v>
      </c>
      <c r="H7" s="68" cm="1">
        <f t="array" ref="H7">SUM(COUNTIFS(人员调整计划!$E:$E,$A4,人员调整计划!BO:BO,{"新增"}))</f>
        <v>5</v>
      </c>
      <c r="I7" s="68" cm="1">
        <f t="array" ref="I7">SUM(COUNTIFS(人员调整计划!$E:$E,$A4,人员调整计划!BP:BP,{"新增"}))</f>
        <v>9</v>
      </c>
      <c r="J7" s="68" cm="1">
        <f t="array" ref="J7">SUM(COUNTIFS(人员调整计划!$E:$E,$A4,人员调整计划!BQ:BQ,{"新增"}))</f>
        <v>0</v>
      </c>
      <c r="K7" s="68" cm="1">
        <f t="array" ref="K7">SUM(COUNTIFS(人员调整计划!$E:$E,$A4,人员调整计划!BR:BR,{"新增"}))</f>
        <v>0</v>
      </c>
      <c r="L7" s="68" cm="1">
        <f t="array" ref="L7">SUM(COUNTIFS(人员调整计划!$E:$E,$A4,人员调整计划!BS:BS,{"新增"}))</f>
        <v>0</v>
      </c>
      <c r="M7" s="68" cm="1">
        <f t="array" ref="M7">SUM(COUNTIFS(人员调整计划!$E:$E,$A4,人员调整计划!BT:BT,{"新增"}))</f>
        <v>0</v>
      </c>
      <c r="N7" s="68" cm="1">
        <f t="array" ref="N7">SUM(COUNTIFS(人员调整计划!$E:$E,$A4,人员调整计划!BU:BU,{"新增"}))</f>
        <v>0</v>
      </c>
      <c r="O7" s="68" cm="1">
        <f t="array" ref="O7">SUM(COUNTIFS(人员调整计划!$E:$E,$A4,人员调整计划!BV:BV,{"新增"}))</f>
        <v>0</v>
      </c>
      <c r="P7" s="69" cm="1">
        <f t="array" ref="P7">SUM(COUNTIFS(人员调整计划!$E:$E,$A4,人员调整计划!BW:BW,{"新增"}))</f>
        <v>0</v>
      </c>
    </row>
    <row r="8" customHeight="1" spans="1:16">
      <c r="A8" s="70"/>
      <c r="B8" s="71" t="s">
        <v>270</v>
      </c>
      <c r="C8" s="72" t="s">
        <v>271</v>
      </c>
      <c r="D8" s="73">
        <f>P8</f>
        <v>0.375</v>
      </c>
      <c r="E8" s="74" cm="1">
        <f t="array" ref="E8">SUMPRODUCT((人员调整计划!$E:$E=$A4)*ISNUMBER(MATCH(TRIM(人员调整计划!$AB:$AB),{"二本","一本","双一流","211","985"},0))*ISNUMBER(MATCH(TRIM(人员调整计划!BL:BL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L:BL),{"在编","新增","优化","调岗"},0))*ISNUMBER(MATCH(TRIM(人员调整计划!$C:$C),{"部长","文控","安保处代主管","专项事务监察处","综合物料库","接待处","行政事务处","特种设备管理处","工程项目管理处"},0))),1)</f>
        <v>0.25</v>
      </c>
      <c r="F8" s="74" cm="1">
        <f t="array" ref="F8">SUMPRODUCT((人员调整计划!$E:$E=$A4)*ISNUMBER(MATCH(TRIM(人员调整计划!$AB:$AB),{"二本","一本","双一流","211","985"},0))*ISNUMBER(MATCH(TRIM(人员调整计划!BM:BM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M:BM),{"在编","新增","优化","调岗"},0))*ISNUMBER(MATCH(TRIM(人员调整计划!$C:$C),{"部长","文控","安保处代主管","专项事务监察处","综合物料库","接待处","行政事务处","特种设备管理处","工程项目管理处"},0))),1)</f>
        <v>0.25</v>
      </c>
      <c r="G8" s="74" cm="1">
        <f t="array" ref="G8">SUMPRODUCT((人员调整计划!$E:$E=$A4)*ISNUMBER(MATCH(TRIM(人员调整计划!$AB:$AB),{"二本","一本","双一流","211","985"},0))*ISNUMBER(MATCH(TRIM(人员调整计划!BN:BN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N:BN),{"在编","新增","优化","调岗"},0))*ISNUMBER(MATCH(TRIM(人员调整计划!$C:$C),{"部长","文控","安保处代主管","专项事务监察处","综合物料库","接待处","行政事务处","特种设备管理处","工程项目管理处"},0))),1)</f>
        <v>0.25</v>
      </c>
      <c r="H8" s="74" cm="1">
        <f t="array" ref="H8">SUMPRODUCT((人员调整计划!$E:$E=$A4)*ISNUMBER(MATCH(TRIM(人员调整计划!$AB:$AB),{"二本","一本","双一流","211","985"},0))*ISNUMBER(MATCH(TRIM(人员调整计划!BO:BO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O:BO),{"在编","新增","优化","调岗"},0))*ISNUMBER(MATCH(TRIM(人员调整计划!$C:$C),{"部长","文控","安保处代主管","专项事务监察处","综合物料库","接待处","行政事务处","特种设备管理处","工程项目管理处"},0))),1)</f>
        <v>0.28</v>
      </c>
      <c r="I8" s="74" cm="1">
        <f t="array" ref="I8">SUMPRODUCT((人员调整计划!$E:$E=$A4)*ISNUMBER(MATCH(TRIM(人员调整计划!$AB:$AB),{"二本","一本","双一流","211","985"},0))*ISNUMBER(MATCH(TRIM(人员调整计划!BP:BP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P:BP),{"在编","新增","优化","调岗"},0))*ISNUMBER(MATCH(TRIM(人员调整计划!$C:$C),{"部长","文控","安保处代主管","专项事务监察处","综合物料库","接待处","行政事务处","特种设备管理处","工程项目管理处"},0))),1)</f>
        <v>0.379310344827586</v>
      </c>
      <c r="J8" s="74" cm="1">
        <f t="array" ref="J8">SUMPRODUCT((人员调整计划!$E:$E=$A4)*ISNUMBER(MATCH(TRIM(人员调整计划!$AB:$AB),{"二本","一本","双一流","211","985"},0))*ISNUMBER(MATCH(TRIM(人员调整计划!BQ:BQ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Q:BQ),{"在编","新增","优化","调岗"},0))*ISNUMBER(MATCH(TRIM(人员调整计划!$C:$C),{"部长","文控","安保处代主管","专项事务监察处","综合物料库","接待处","行政事务处","特种设备管理处","工程项目管理处"},0))),1)</f>
        <v>0.37037037037037</v>
      </c>
      <c r="K8" s="74" cm="1">
        <f t="array" ref="K8">SUMPRODUCT((人员调整计划!$E:$E=$A4)*ISNUMBER(MATCH(TRIM(人员调整计划!$AB:$AB),{"二本","一本","双一流","211","985"},0))*ISNUMBER(MATCH(TRIM(人员调整计划!BR:BR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R:BR),{"在编","新增","优化","调岗"},0))*ISNUMBER(MATCH(TRIM(人员调整计划!$C:$C),{"部长","文控","安保处代主管","专项事务监察处","综合物料库","接待处","行政事务处","特种设备管理处","工程项目管理处"},0))),1)</f>
        <v>0.36</v>
      </c>
      <c r="L8" s="74" cm="1">
        <f t="array" ref="L8">SUMPRODUCT((人员调整计划!$E:$E=$A4)*ISNUMBER(MATCH(TRIM(人员调整计划!$AB:$AB),{"二本","一本","双一流","211","985"},0))*ISNUMBER(MATCH(TRIM(人员调整计划!BS:BS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S:BS),{"在编","新增","优化","调岗"},0))*ISNUMBER(MATCH(TRIM(人员调整计划!$C:$C),{"部长","文控","安保处代主管","专项事务监察处","综合物料库","接待处","行政事务处","特种设备管理处","工程项目管理处"},0))),1)</f>
        <v>0.375</v>
      </c>
      <c r="M8" s="74" cm="1">
        <f t="array" ref="M8">SUMPRODUCT((人员调整计划!$E:$E=$A4)*ISNUMBER(MATCH(TRIM(人员调整计划!$AB:$AB),{"二本","一本","双一流","211","985"},0))*ISNUMBER(MATCH(TRIM(人员调整计划!BT:BT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T:BT),{"在编","新增","优化","调岗"},0))*ISNUMBER(MATCH(TRIM(人员调整计划!$C:$C),{"部长","文控","安保处代主管","专项事务监察处","综合物料库","接待处","行政事务处","特种设备管理处","工程项目管理处"},0))),1)</f>
        <v>0.375</v>
      </c>
      <c r="N8" s="74" cm="1">
        <f t="array" ref="N8">SUMPRODUCT((人员调整计划!$E:$E=$A4)*ISNUMBER(MATCH(TRIM(人员调整计划!$AB:$AB),{"二本","一本","双一流","211","985"},0))*ISNUMBER(MATCH(TRIM(人员调整计划!BU:BU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U:BU),{"在编","新增","优化","调岗"},0))*ISNUMBER(MATCH(TRIM(人员调整计划!$C:$C),{"部长","文控","安保处代主管","专项事务监察处","综合物料库","接待处","行政事务处","特种设备管理处","工程项目管理处"},0))),1)</f>
        <v>0.375</v>
      </c>
      <c r="O8" s="74" cm="1">
        <f t="array" ref="O8">SUMPRODUCT((人员调整计划!$E:$E=$A4)*ISNUMBER(MATCH(TRIM(人员调整计划!$AB:$AB),{"二本","一本","双一流","211","985"},0))*ISNUMBER(MATCH(TRIM(人员调整计划!BV:BV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V:BV),{"在编","新增","优化","调岗"},0))*ISNUMBER(MATCH(TRIM(人员调整计划!$C:$C),{"部长","文控","安保处代主管","专项事务监察处","综合物料库","接待处","行政事务处","特种设备管理处","工程项目管理处"},0))),1)</f>
        <v>0.375</v>
      </c>
      <c r="P8" s="75" cm="1">
        <f t="array" ref="P8">SUMPRODUCT((人员调整计划!$E:$E=$A4)*ISNUMBER(MATCH(TRIM(人员调整计划!$AB:$AB),{"二本","一本","双一流","211","985"},0))*ISNUMBER(MATCH(TRIM(人员调整计划!BW:BW),{"在编","新增","优化","调岗"},0))*ISNUMBER(MATCH(TRIM(人员调整计划!$C:$C),{"部长","文控","安保处代主管","专项事务监察处","综合物料库","接待处","行政事务处","特种设备管理处","工程项目管理处"},0)))/IFERROR(SUMPRODUCT((人员调整计划!$G:$G=$A4)*ISNUMBER(MATCH(TRIM(人员调整计划!BW:BW),{"在编","新增","优化","调岗"},0))*ISNUMBER(MATCH(TRIM(人员调整计划!$C:$C),{"部长","文控","安保处代主管","专项事务监察处","综合物料库","接待处","行政事务处","特种设备管理处","工程项目管理处"},0))),1)</f>
        <v>0.375</v>
      </c>
    </row>
    <row r="9" customHeight="1" spans="1:16">
      <c r="A9" s="70"/>
      <c r="B9" s="67"/>
      <c r="C9" s="72" t="s">
        <v>272</v>
      </c>
      <c r="D9" s="73">
        <f>P9</f>
        <v>0.181818181818182</v>
      </c>
      <c r="E9" s="74" cm="1">
        <f t="array" ref="E9">SUMPRODUCT((人员调整计划!$E:$E=$A4)*ISNUMBER(MATCH(TRIM(人员调整计划!$AB:$AB),{"大专","二本","一本","双一流","211","985"},0))*ISNUMBER(MATCH(TRIM(人员调整计划!BL:BL),{"在编","新增","优化","调岗"},0))*ISNUMBER(MATCH(TRIM(人员调整计划!$C:$C),{"安保处","保洁","电工","司机"},0)))/IFERROR(SUMPRODUCT((人员调整计划!$G:$G=$A4)*ISNUMBER(MATCH(TRIM(人员调整计划!BL:BL),{"在编","新增","优化","调岗"},0))*ISNUMBER(MATCH(TRIM(人员调整计划!$C:$C),{"安保处","保洁","电工","司机"},0))),1)</f>
        <v>0.0952380952380952</v>
      </c>
      <c r="F9" s="74" cm="1">
        <f t="array" ref="F9">SUMPRODUCT((人员调整计划!$E:$E=$A4)*ISNUMBER(MATCH(TRIM(人员调整计划!$AB:$AB),{"大专","二本","一本","双一流","211","985"},0))*ISNUMBER(MATCH(TRIM(人员调整计划!BM:BM),{"在编","新增","优化","调岗"},0))*ISNUMBER(MATCH(TRIM(人员调整计划!$C:$C),{"安保处","保洁","电工","司机"},0)))/IFERROR(SUMPRODUCT((人员调整计划!$G:$G=$A4)*ISNUMBER(MATCH(TRIM(人员调整计划!BM:BM),{"在编","新增","优化","调岗"},0))*ISNUMBER(MATCH(TRIM(人员调整计划!$C:$C),{"安保处","保洁","电工","司机"},0))),1)</f>
        <v>0.0952380952380952</v>
      </c>
      <c r="G9" s="74" cm="1">
        <f t="array" ref="G9">SUMPRODUCT((人员调整计划!$E:$E=$A4)*ISNUMBER(MATCH(TRIM(人员调整计划!$AB:$AB),{"大专","二本","一本","双一流","211","985"},0))*ISNUMBER(MATCH(TRIM(人员调整计划!BN:BN),{"在编","新增","优化","调岗"},0))*ISNUMBER(MATCH(TRIM(人员调整计划!$C:$C),{"安保处","保洁","电工","司机"},0)))/IFERROR(SUMPRODUCT((人员调整计划!$G:$G=$A4)*ISNUMBER(MATCH(TRIM(人员调整计划!BN:BN),{"在编","新增","优化","调岗"},0))*ISNUMBER(MATCH(TRIM(人员调整计划!$C:$C),{"安保处","保洁","电工","司机"},0))),1)</f>
        <v>0.0952380952380952</v>
      </c>
      <c r="H9" s="74" cm="1">
        <f t="array" ref="H9">SUMPRODUCT((人员调整计划!$E:$E=$A4)*ISNUMBER(MATCH(TRIM(人员调整计划!$AB:$AB),{"大专","二本","一本","双一流","211","985"},0))*ISNUMBER(MATCH(TRIM(人员调整计划!BO:BO),{"在编","新增","优化","调岗"},0))*ISNUMBER(MATCH(TRIM(人员调整计划!$C:$C),{"安保处","保洁","电工","司机"},0)))/IFERROR(SUMPRODUCT((人员调整计划!$G:$G=$A4)*ISNUMBER(MATCH(TRIM(人员调整计划!BO:BO),{"在编","新增","优化","调岗"},0))*ISNUMBER(MATCH(TRIM(人员调整计划!$C:$C),{"安保处","保洁","电工","司机"},0))),1)</f>
        <v>0.0952380952380952</v>
      </c>
      <c r="I9" s="74" cm="1">
        <f t="array" ref="I9">SUMPRODUCT((人员调整计划!$E:$E=$A4)*ISNUMBER(MATCH(TRIM(人员调整计划!$AB:$AB),{"大专","二本","一本","双一流","211","985"},0))*ISNUMBER(MATCH(TRIM(人员调整计划!BP:BP),{"在编","新增","优化","调岗"},0))*ISNUMBER(MATCH(TRIM(人员调整计划!$C:$C),{"安保处","保洁","电工","司机"},0)))/IFERROR(SUMPRODUCT((人员调整计划!$G:$G=$A4)*ISNUMBER(MATCH(TRIM(人员调整计划!BP:BP),{"在编","新增","优化","调岗"},0))*ISNUMBER(MATCH(TRIM(人员调整计划!$C:$C),{"安保处","保洁","电工","司机"},0))),1)</f>
        <v>0.105263157894737</v>
      </c>
      <c r="J9" s="74" cm="1">
        <f t="array" ref="J9">SUMPRODUCT((人员调整计划!$E:$E=$A4)*ISNUMBER(MATCH(TRIM(人员调整计划!$AB:$AB),{"大专","二本","一本","双一流","211","985"},0))*ISNUMBER(MATCH(TRIM(人员调整计划!BQ:BQ),{"在编","新增","优化","调岗"},0))*ISNUMBER(MATCH(TRIM(人员调整计划!$C:$C),{"安保处","保洁","电工","司机"},0)))/IFERROR(SUMPRODUCT((人员调整计划!$G:$G=$A4)*ISNUMBER(MATCH(TRIM(人员调整计划!BQ:BQ),{"在编","新增","优化","调岗"},0))*ISNUMBER(MATCH(TRIM(人员调整计划!$C:$C),{"安保处","保洁","电工","司机"},0))),1)</f>
        <v>0.117647058823529</v>
      </c>
      <c r="K9" s="74" cm="1">
        <f t="array" ref="K9">SUMPRODUCT((人员调整计划!$E:$E=$A4)*ISNUMBER(MATCH(TRIM(人员调整计划!$AB:$AB),{"大专","二本","一本","双一流","211","985"},0))*ISNUMBER(MATCH(TRIM(人员调整计划!BR:BR),{"在编","新增","优化","调岗"},0))*ISNUMBER(MATCH(TRIM(人员调整计划!$C:$C),{"安保处","保洁","电工","司机"},0)))/IFERROR(SUMPRODUCT((人员调整计划!$G:$G=$A4)*ISNUMBER(MATCH(TRIM(人员调整计划!BR:BR),{"在编","新增","优化","调岗"},0))*ISNUMBER(MATCH(TRIM(人员调整计划!$C:$C),{"安保处","保洁","电工","司机"},0))),1)</f>
        <v>0.117647058823529</v>
      </c>
      <c r="L9" s="74" cm="1">
        <f t="array" ref="L9">SUMPRODUCT((人员调整计划!$E:$E=$A4)*ISNUMBER(MATCH(TRIM(人员调整计划!$AB:$AB),{"大专","二本","一本","双一流","211","985"},0))*ISNUMBER(MATCH(TRIM(人员调整计划!BS:BS),{"在编","新增","优化","调岗"},0))*ISNUMBER(MATCH(TRIM(人员调整计划!$C:$C),{"安保处","保洁","电工","司机"},0)))/IFERROR(SUMPRODUCT((人员调整计划!$G:$G=$A4)*ISNUMBER(MATCH(TRIM(人员调整计划!BS:BS),{"在编","新增","优化","调岗"},0))*ISNUMBER(MATCH(TRIM(人员调整计划!$C:$C),{"安保处","保洁","电工","司机"},0))),1)</f>
        <v>0.181818181818182</v>
      </c>
      <c r="M9" s="74" cm="1">
        <f t="array" ref="M9">SUMPRODUCT((人员调整计划!$E:$E=$A4)*ISNUMBER(MATCH(TRIM(人员调整计划!$AB:$AB),{"大专","二本","一本","双一流","211","985"},0))*ISNUMBER(MATCH(TRIM(人员调整计划!BT:BT),{"在编","新增","优化","调岗"},0))*ISNUMBER(MATCH(TRIM(人员调整计划!$C:$C),{"安保处","保洁","电工","司机"},0)))/IFERROR(SUMPRODUCT((人员调整计划!$G:$G=$A4)*ISNUMBER(MATCH(TRIM(人员调整计划!BT:BT),{"在编","新增","优化","调岗"},0))*ISNUMBER(MATCH(TRIM(人员调整计划!$C:$C),{"安保处","保洁","电工","司机"},0))),1)</f>
        <v>0.181818181818182</v>
      </c>
      <c r="N9" s="74" cm="1">
        <f t="array" ref="N9">SUMPRODUCT((人员调整计划!$E:$E=$A4)*ISNUMBER(MATCH(TRIM(人员调整计划!$AB:$AB),{"大专","二本","一本","双一流","211","985"},0))*ISNUMBER(MATCH(TRIM(人员调整计划!BU:BU),{"在编","新增","优化","调岗"},0))*ISNUMBER(MATCH(TRIM(人员调整计划!$C:$C),{"安保处","保洁","电工","司机"},0)))/IFERROR(SUMPRODUCT((人员调整计划!$G:$G=$A4)*ISNUMBER(MATCH(TRIM(人员调整计划!BU:BU),{"在编","新增","优化","调岗"},0))*ISNUMBER(MATCH(TRIM(人员调整计划!$C:$C),{"安保处","保洁","电工","司机"},0))),1)</f>
        <v>0.181818181818182</v>
      </c>
      <c r="O9" s="74" cm="1">
        <f t="array" ref="O9">SUMPRODUCT((人员调整计划!$E:$E=$A4)*ISNUMBER(MATCH(TRIM(人员调整计划!$AB:$AB),{"大专","二本","一本","双一流","211","985"},0))*ISNUMBER(MATCH(TRIM(人员调整计划!BV:BV),{"在编","新增","优化","调岗"},0))*ISNUMBER(MATCH(TRIM(人员调整计划!$C:$C),{"安保处","保洁","电工","司机"},0)))/IFERROR(SUMPRODUCT((人员调整计划!$G:$G=$A4)*ISNUMBER(MATCH(TRIM(人员调整计划!BV:BV),{"在编","新增","优化","调岗"},0))*ISNUMBER(MATCH(TRIM(人员调整计划!$C:$C),{"安保处","保洁","电工","司机"},0))),1)</f>
        <v>0.181818181818182</v>
      </c>
      <c r="P9" s="75" cm="1">
        <f t="array" ref="P9">SUMPRODUCT((人员调整计划!$E:$E=$A4)*ISNUMBER(MATCH(TRIM(人员调整计划!$AB:$AB),{"大专","二本","一本","双一流","211","985"},0))*ISNUMBER(MATCH(TRIM(人员调整计划!BW:BW),{"在编","新增","优化","调岗"},0))*ISNUMBER(MATCH(TRIM(人员调整计划!$C:$C),{"安保处","保洁","电工","司机"},0)))/IFERROR(SUMPRODUCT((人员调整计划!$G:$G=$A4)*ISNUMBER(MATCH(TRIM(人员调整计划!BW:BW),{"在编","新增","优化","调岗"},0))*ISNUMBER(MATCH(TRIM(人员调整计划!$C:$C),{"安保处","保洁","电工","司机"},0))),1)</f>
        <v>0.181818181818182</v>
      </c>
    </row>
    <row r="10" customHeight="1" spans="1:16">
      <c r="A10" s="70"/>
      <c r="B10" s="68" t="s">
        <v>273</v>
      </c>
      <c r="C10" s="72" t="s">
        <v>274</v>
      </c>
      <c r="D10" s="73">
        <f>P10</f>
        <v>0.625</v>
      </c>
      <c r="E10" s="74" cm="1">
        <f t="array" ref="E10">SUM(COUNTIFS(人员调整计划!$G:$G,$A4,人员调整计划!$AH:$AH,"&lt;30",人员调整计划!BL:BL,{"在编","调岗","新增","优化"}))/E4</f>
        <v>0.442307692307692</v>
      </c>
      <c r="F10" s="74" cm="1">
        <f t="array" ref="F10">SUM(COUNTIFS(人员调整计划!$G:$G,$A4,人员调整计划!$AH:$AH,"&lt;30",人员调整计划!BM:BM,{"在编","调岗","新增","优化"}))/F4</f>
        <v>0.442307692307692</v>
      </c>
      <c r="G10" s="74" cm="1">
        <f t="array" ref="G10">SUM(COUNTIFS(人员调整计划!$G:$G,$A4,人员调整计划!$AH:$AH,"&lt;30",人员调整计划!BN:BN,{"在编","调岗","新增","优化"}))/G4</f>
        <v>0.442307692307692</v>
      </c>
      <c r="H10" s="74" cm="1">
        <f t="array" ref="H10">SUM(COUNTIFS(人员调整计划!$G:$G,$A4,人员调整计划!$AH:$AH,"&lt;30",人员调整计划!BO:BO,{"在编","调岗","新增","优化"}))/H4</f>
        <v>0.473684210526316</v>
      </c>
      <c r="I10" s="74" cm="1">
        <f t="array" ref="I10">SUM(COUNTIFS(人员调整计划!$G:$G,$A4,人员调整计划!$AH:$AH,"&lt;30",人员调整计划!BP:BP,{"在编","调岗","新增","优化"}))/I4</f>
        <v>0.53968253968254</v>
      </c>
      <c r="J10" s="74" cm="1">
        <f t="array" ref="J10">SUM(COUNTIFS(人员调整计划!$G:$G,$A4,人员调整计划!$AH:$AH,"&lt;30",人员调整计划!BQ:BQ,{"在编","调岗","新增","优化"}))/J4</f>
        <v>0.559322033898305</v>
      </c>
      <c r="K10" s="74" cm="1">
        <f t="array" ref="K10">SUM(COUNTIFS(人员调整计划!$G:$G,$A4,人员调整计划!$AH:$AH,"&lt;30",人员调整计划!BR:BR,{"在编","调岗","新增","优化"}))/K4</f>
        <v>0.553571428571429</v>
      </c>
      <c r="L10" s="74" cm="1">
        <f t="array" ref="L10">SUM(COUNTIFS(人员调整计划!$G:$G,$A4,人员调整计划!$AH:$AH,"&lt;30",人员调整计划!BS:BS,{"在编","调岗","新增","优化"}))/L4</f>
        <v>0.625</v>
      </c>
      <c r="M10" s="74" cm="1">
        <f t="array" ref="M10">SUM(COUNTIFS(人员调整计划!$G:$G,$A4,人员调整计划!$AH:$AH,"&lt;30",人员调整计划!BT:BT,{"在编","调岗","新增","优化"}))/M4</f>
        <v>0.625</v>
      </c>
      <c r="N10" s="74" cm="1">
        <f t="array" ref="N10">SUM(COUNTIFS(人员调整计划!$G:$G,$A4,人员调整计划!$AH:$AH,"&lt;30",人员调整计划!BU:BU,{"在编","调岗","新增","优化"}))/N4</f>
        <v>0.625</v>
      </c>
      <c r="O10" s="74" cm="1">
        <f t="array" ref="O10">SUM(COUNTIFS(人员调整计划!$G:$G,$A4,人员调整计划!$AH:$AH,"&lt;30",人员调整计划!BV:BV,{"在编","调岗","新增","优化"}))/O4</f>
        <v>0.625</v>
      </c>
      <c r="P10" s="75" cm="1">
        <f t="array" ref="P10">SUM(COUNTIFS(人员调整计划!$G:$G,$A4,人员调整计划!$AH:$AH,"&lt;30",人员调整计划!BW:BW,{"在编","调岗","新增","优化"}))/P4</f>
        <v>0.625</v>
      </c>
    </row>
    <row r="11" customHeight="1" spans="1:16">
      <c r="A11" s="70"/>
      <c r="B11" s="68" t="s">
        <v>275</v>
      </c>
      <c r="C11" s="72" t="s">
        <v>276</v>
      </c>
      <c r="D11" s="73">
        <f>P11</f>
        <v>0.708333333333333</v>
      </c>
      <c r="E11" s="74" cm="1">
        <f t="array" ref="E11">SUM(COUNTIFS(人员调整计划!$G:$G,$A4,人员调整计划!$S:$S,"男",人员调整计划!BL:BL,{"在编","调岗","新增","优化"}))/E4</f>
        <v>0.634615384615385</v>
      </c>
      <c r="F11" s="74" cm="1">
        <f t="array" ref="F11">SUM(COUNTIFS(人员调整计划!$G:$G,$A4,人员调整计划!$S:$S,"男",人员调整计划!BM:BM,{"在编","调岗","新增","优化"}))/F4</f>
        <v>0.634615384615385</v>
      </c>
      <c r="G11" s="74" cm="1">
        <f t="array" ref="G11">SUM(COUNTIFS(人员调整计划!$G:$G,$A4,人员调整计划!$S:$S,"男",人员调整计划!BN:BN,{"在编","调岗","新增","优化"}))/G4</f>
        <v>0.634615384615385</v>
      </c>
      <c r="H11" s="74" cm="1">
        <f t="array" ref="H11">SUM(COUNTIFS(人员调整计划!$G:$G,$A4,人员调整计划!$S:$S,"男",人员调整计划!BO:BO,{"在编","调岗","新增","优化"}))/H4</f>
        <v>0.666666666666667</v>
      </c>
      <c r="I11" s="74" cm="1">
        <f t="array" ref="I11">SUM(COUNTIFS(人员调整计划!$G:$G,$A4,人员调整计划!$S:$S,"男",人员调整计划!BP:BP,{"在编","调岗","新增","优化"}))/I4</f>
        <v>0.634920634920635</v>
      </c>
      <c r="J11" s="74" cm="1">
        <f t="array" ref="J11">SUM(COUNTIFS(人员调整计划!$G:$G,$A4,人员调整计划!$S:$S,"男",人员调整计划!BQ:BQ,{"在编","调岗","新增","优化"}))/J4</f>
        <v>0.644067796610169</v>
      </c>
      <c r="K11" s="74" cm="1">
        <f t="array" ref="K11">SUM(COUNTIFS(人员调整计划!$G:$G,$A4,人员调整计划!$S:$S,"男",人员调整计划!BR:BR,{"在编","调岗","新增","优化"}))/K4</f>
        <v>0.642857142857143</v>
      </c>
      <c r="L11" s="74" cm="1">
        <f t="array" ref="L11">SUM(COUNTIFS(人员调整计划!$G:$G,$A4,人员调整计划!$S:$S,"男",人员调整计划!BS:BS,{"在编","调岗","新增","优化"}))/L4</f>
        <v>0.708333333333333</v>
      </c>
      <c r="M11" s="74" cm="1">
        <f t="array" ref="M11">SUM(COUNTIFS(人员调整计划!$G:$G,$A4,人员调整计划!$S:$S,"男",人员调整计划!BT:BT,{"在编","调岗","新增","优化"}))/M4</f>
        <v>0.708333333333333</v>
      </c>
      <c r="N11" s="74" cm="1">
        <f t="array" ref="N11">SUM(COUNTIFS(人员调整计划!$G:$G,$A4,人员调整计划!$S:$S,"男",人员调整计划!BU:BU,{"在编","调岗","新增","优化"}))/N4</f>
        <v>0.708333333333333</v>
      </c>
      <c r="O11" s="74" cm="1">
        <f t="array" ref="O11">SUM(COUNTIFS(人员调整计划!$G:$G,$A4,人员调整计划!$S:$S,"男",人员调整计划!BV:BV,{"在编","调岗","新增","优化"}))/O4</f>
        <v>0.708333333333333</v>
      </c>
      <c r="P11" s="75" cm="1">
        <f t="array" ref="P11">SUM(COUNTIFS(人员调整计划!$G:$G,$A4,人员调整计划!$S:$S,"男",人员调整计划!BW:BW,{"在编","调岗","新增","优化"}))/P4</f>
        <v>0.708333333333333</v>
      </c>
    </row>
    <row r="12" customHeight="1" spans="1:16">
      <c r="A12" s="70"/>
      <c r="B12" s="68" t="s">
        <v>277</v>
      </c>
      <c r="C12" s="72" t="s">
        <v>278</v>
      </c>
      <c r="D12" s="73">
        <f>P12</f>
        <v>0.6875</v>
      </c>
      <c r="E12" s="74" cm="1">
        <f t="array" ref="E12">SUM(COUNTIFS(人员调整计划!$G:$G,$A4,人员调整计划!$AC:$AC,"直接",人员调整计划!BL:BL,{"在编","调岗","新增","优化"}))/E4</f>
        <v>0.711538461538462</v>
      </c>
      <c r="F12" s="74" cm="1">
        <f t="array" ref="F12">SUM(COUNTIFS(人员调整计划!$G:$G,$A4,人员调整计划!$AC:$AC,"直接",人员调整计划!BM:BM,{"在编","调岗","新增","优化"}))/F4</f>
        <v>0.711538461538462</v>
      </c>
      <c r="G12" s="74" cm="1">
        <f t="array" ref="G12">SUM(COUNTIFS(人员调整计划!$G:$G,$A4,人员调整计划!$AC:$AC,"直接",人员调整计划!BN:BN,{"在编","调岗","新增","优化"}))/G4</f>
        <v>0.711538461538462</v>
      </c>
      <c r="H12" s="74" cm="1">
        <f t="array" ref="H12">SUM(COUNTIFS(人员调整计划!$G:$G,$A4,人员调整计划!$AC:$AC,"直接",人员调整计划!BO:BO,{"在编","调岗","新增","优化"}))/H4</f>
        <v>0.701754385964912</v>
      </c>
      <c r="I12" s="74" cm="1">
        <f t="array" ref="I12">SUM(COUNTIFS(人员调整计划!$G:$G,$A4,人员调整计划!$AC:$AC,"直接",人员调整计划!BP:BP,{"在编","调岗","新增","优化"}))/I4</f>
        <v>0.698412698412698</v>
      </c>
      <c r="J12" s="74" cm="1">
        <f t="array" ref="J12">SUM(COUNTIFS(人员调整计划!$G:$G,$A4,人员调整计划!$AC:$AC,"直接",人员调整计划!BQ:BQ,{"在编","调岗","新增","优化"}))/J4</f>
        <v>0.677966101694915</v>
      </c>
      <c r="K12" s="74" cm="1">
        <f t="array" ref="K12">SUM(COUNTIFS(人员调整计划!$G:$G,$A4,人员调整计划!$AC:$AC,"直接",人员调整计划!BR:BR,{"在编","调岗","新增","优化"}))/K4</f>
        <v>0.678571428571429</v>
      </c>
      <c r="L12" s="74" cm="1">
        <f t="array" ref="L12">SUM(COUNTIFS(人员调整计划!$G:$G,$A4,人员调整计划!$AC:$AC,"直接",人员调整计划!BS:BS,{"在编","调岗","新增","优化"}))/L4</f>
        <v>0.6875</v>
      </c>
      <c r="M12" s="74" cm="1">
        <f t="array" ref="M12">SUM(COUNTIFS(人员调整计划!$G:$G,$A4,人员调整计划!$AC:$AC,"直接",人员调整计划!BT:BT,{"在编","调岗","新增","优化"}))/M4</f>
        <v>0.6875</v>
      </c>
      <c r="N12" s="74" cm="1">
        <f t="array" ref="N12">SUM(COUNTIFS(人员调整计划!$G:$G,$A4,人员调整计划!$AC:$AC,"直接",人员调整计划!BU:BU,{"在编","调岗","新增","优化"}))/N4</f>
        <v>0.6875</v>
      </c>
      <c r="O12" s="74" cm="1">
        <f t="array" ref="O12">SUM(COUNTIFS(人员调整计划!$G:$G,$A4,人员调整计划!$AC:$AC,"直接",人员调整计划!BV:BV,{"在编","调岗","新增","优化"}))/O4</f>
        <v>0.6875</v>
      </c>
      <c r="P12" s="75" cm="1">
        <f t="array" ref="P12">SUM(COUNTIFS(人员调整计划!$G:$G,$A4,人员调整计划!$AC:$AC,"直接",人员调整计划!BW:BW,{"在编","调岗","新增","优化"}))/P4</f>
        <v>0.6875</v>
      </c>
    </row>
    <row r="13" customHeight="1" spans="1:16">
      <c r="A13" s="70"/>
      <c r="B13" s="68" t="s">
        <v>279</v>
      </c>
      <c r="C13" s="72" t="s">
        <v>280</v>
      </c>
      <c r="D13" s="73">
        <f t="shared" ref="D13:D18" si="0">P13</f>
        <v>0.0416666666666667</v>
      </c>
      <c r="E13" s="74" cm="1">
        <f t="array" ref="E13">SUM(COUNTIFS(人员调整计划!$G:$G,$A4,人员调整计划!$AD:$AD,"财务",人员调整计划!BL:BL,{"在编","调岗","新增","优化"}))/E4</f>
        <v>0.0192307692307692</v>
      </c>
      <c r="F13" s="74" cm="1">
        <f t="array" ref="F13">SUM(COUNTIFS(人员调整计划!$G:$G,$A4,人员调整计划!$AD:$AD,"财务",人员调整计划!BM:BM,{"在编","调岗","新增","优化"}))/F4</f>
        <v>0.0192307692307692</v>
      </c>
      <c r="G13" s="74" cm="1">
        <f t="array" ref="G13">SUM(COUNTIFS(人员调整计划!$G:$G,$A4,人员调整计划!$AD:$AD,"财务",人员调整计划!BN:BN,{"在编","调岗","新增","优化"}))/G4</f>
        <v>0.0192307692307692</v>
      </c>
      <c r="H13" s="74" cm="1">
        <f t="array" ref="H13">SUM(COUNTIFS(人员调整计划!$G:$G,$A4,人员调整计划!$AD:$AD,"财务",人员调整计划!BO:BO,{"在编","调岗","新增","优化"}))/H4</f>
        <v>0.0175438596491228</v>
      </c>
      <c r="I13" s="74" cm="1">
        <f t="array" ref="I13">SUM(COUNTIFS(人员调整计划!$G:$G,$A4,人员调整计划!$AD:$AD,"财务",人员调整计划!BP:BP,{"在编","调岗","新增","优化"}))/I4</f>
        <v>0.0317460317460317</v>
      </c>
      <c r="J13" s="74" cm="1">
        <f t="array" ref="J13">SUM(COUNTIFS(人员调整计划!$G:$G,$A4,人员调整计划!$AD:$AD,"财务",人员调整计划!BQ:BQ,{"在编","调岗","新增","优化"}))/J4</f>
        <v>0.0338983050847458</v>
      </c>
      <c r="K13" s="74" cm="1">
        <f t="array" ref="K13">SUM(COUNTIFS(人员调整计划!$G:$G,$A4,人员调整计划!$AD:$AD,"财务",人员调整计划!BR:BR,{"在编","调岗","新增","优化"}))/K4</f>
        <v>0.0357142857142857</v>
      </c>
      <c r="L13" s="74" cm="1">
        <f t="array" ref="L13">SUM(COUNTIFS(人员调整计划!$G:$G,$A4,人员调整计划!$AD:$AD,"财务",人员调整计划!BS:BS,{"在编","调岗","新增","优化"}))/L4</f>
        <v>0.0416666666666667</v>
      </c>
      <c r="M13" s="74" cm="1">
        <f t="array" ref="M13">SUM(COUNTIFS(人员调整计划!$G:$G,$A4,人员调整计划!$AD:$AD,"财务",人员调整计划!BT:BT,{"在编","调岗","新增","优化"}))/M4</f>
        <v>0.0416666666666667</v>
      </c>
      <c r="N13" s="74" cm="1">
        <f t="array" ref="N13">SUM(COUNTIFS(人员调整计划!$G:$G,$A4,人员调整计划!$AD:$AD,"财务",人员调整计划!BU:BU,{"在编","调岗","新增","优化"}))/N4</f>
        <v>0.0416666666666667</v>
      </c>
      <c r="O13" s="74" cm="1">
        <f t="array" ref="O13">SUM(COUNTIFS(人员调整计划!$G:$G,$A4,人员调整计划!$AD:$AD,"财务",人员调整计划!BV:BV,{"在编","调岗","新增","优化"}))/O4</f>
        <v>0.0416666666666667</v>
      </c>
      <c r="P13" s="75" cm="1">
        <f t="array" ref="P13">SUM(COUNTIFS(人员调整计划!$G:$G,$A4,人员调整计划!$AD:$AD,"财务",人员调整计划!BW:BW,{"在编","调岗","新增","优化"}))/P4</f>
        <v>0.0416666666666667</v>
      </c>
    </row>
    <row r="14" customHeight="1" spans="1:16">
      <c r="A14" s="70"/>
      <c r="B14" s="68"/>
      <c r="C14" s="72" t="s">
        <v>281</v>
      </c>
      <c r="D14" s="73">
        <f t="shared" si="0"/>
        <v>0.0208333333333333</v>
      </c>
      <c r="E14" s="74" cm="1">
        <f t="array" ref="E14">SUM(COUNTIFS(人员调整计划!$G:$G,$A4,人员调整计划!$AD:$AD,"法务",人员调整计划!BL:BL,{"在编","调岗","新增","优化"}))/E4</f>
        <v>0</v>
      </c>
      <c r="F14" s="74" cm="1">
        <f t="array" ref="F14">SUM(COUNTIFS(人员调整计划!$G:$G,$A4,人员调整计划!$AD:$AD,"法务",人员调整计划!BM:BM,{"在编","调岗","新增","优化"}))/F4</f>
        <v>0</v>
      </c>
      <c r="G14" s="74" cm="1">
        <f t="array" ref="G14">SUM(COUNTIFS(人员调整计划!$G:$G,$A4,人员调整计划!$AD:$AD,"法务",人员调整计划!BN:BN,{"在编","调岗","新增","优化"}))/G4</f>
        <v>0</v>
      </c>
      <c r="H14" s="74" cm="1">
        <f t="array" ref="H14">SUM(COUNTIFS(人员调整计划!$G:$G,$A4,人员调整计划!$AD:$AD,"法务",人员调整计划!BO:BO,{"在编","调岗","新增","优化"}))/H4</f>
        <v>0</v>
      </c>
      <c r="I14" s="74" cm="1">
        <f t="array" ref="I14">SUM(COUNTIFS(人员调整计划!$G:$G,$A4,人员调整计划!$AD:$AD,"法务",人员调整计划!BP:BP,{"在编","调岗","新增","优化"}))/I4</f>
        <v>0.0158730158730159</v>
      </c>
      <c r="J14" s="74" cm="1">
        <f t="array" ref="J14">SUM(COUNTIFS(人员调整计划!$G:$G,$A4,人员调整计划!$AD:$AD,"法务",人员调整计划!BQ:BQ,{"在编","调岗","新增","优化"}))/J4</f>
        <v>0.0169491525423729</v>
      </c>
      <c r="K14" s="74" cm="1">
        <f t="array" ref="K14">SUM(COUNTIFS(人员调整计划!$G:$G,$A4,人员调整计划!$AD:$AD,"法务",人员调整计划!BR:BR,{"在编","调岗","新增","优化"}))/K4</f>
        <v>0.0178571428571429</v>
      </c>
      <c r="L14" s="74" cm="1">
        <f t="array" ref="L14">SUM(COUNTIFS(人员调整计划!$G:$G,$A4,人员调整计划!$AD:$AD,"法务",人员调整计划!BS:BS,{"在编","调岗","新增","优化"}))/L4</f>
        <v>0.0208333333333333</v>
      </c>
      <c r="M14" s="74" cm="1">
        <f t="array" ref="M14">SUM(COUNTIFS(人员调整计划!$G:$G,$A4,人员调整计划!$AD:$AD,"法务",人员调整计划!BT:BT,{"在编","调岗","新增","优化"}))/M4</f>
        <v>0.0208333333333333</v>
      </c>
      <c r="N14" s="74" cm="1">
        <f t="array" ref="N14">SUM(COUNTIFS(人员调整计划!$G:$G,$A4,人员调整计划!$AD:$AD,"法务",人员调整计划!BU:BU,{"在编","调岗","新增","优化"}))/N4</f>
        <v>0.0208333333333333</v>
      </c>
      <c r="O14" s="74" cm="1">
        <f t="array" ref="O14">SUM(COUNTIFS(人员调整计划!$G:$G,$A4,人员调整计划!$AD:$AD,"法务",人员调整计划!BV:BV,{"在编","调岗","新增","优化"}))/O4</f>
        <v>0.0208333333333333</v>
      </c>
      <c r="P14" s="75" cm="1">
        <f t="array" ref="P14">SUM(COUNTIFS(人员调整计划!$G:$G,$A4,人员调整计划!$AD:$AD,"法务",人员调整计划!BW:BW,{"在编","调岗","新增","优化"}))/P4</f>
        <v>0.0208333333333333</v>
      </c>
    </row>
    <row r="15" customHeight="1" spans="1:16">
      <c r="A15" s="70"/>
      <c r="B15" s="68"/>
      <c r="C15" s="72" t="s">
        <v>282</v>
      </c>
      <c r="D15" s="73">
        <f t="shared" si="0"/>
        <v>0.0208333333333333</v>
      </c>
      <c r="E15" s="74" cm="1">
        <f t="array" ref="E15">SUM(COUNTIFS(人员调整计划!$G:$G,$A4,人员调整计划!$AD:$AD,"HR",人员调整计划!BL:BL,{"在编","调岗","新增","优化"}))/E4</f>
        <v>0.0192307692307692</v>
      </c>
      <c r="F15" s="74" cm="1">
        <f t="array" ref="F15">SUM(COUNTIFS(人员调整计划!$G:$G,$A4,人员调整计划!$AD:$AD,"HR",人员调整计划!BM:BM,{"在编","调岗","新增","优化"}))/F4</f>
        <v>0.0192307692307692</v>
      </c>
      <c r="G15" s="74" cm="1">
        <f t="array" ref="G15">SUM(COUNTIFS(人员调整计划!$G:$G,$A4,人员调整计划!$AD:$AD,"HR",人员调整计划!BN:BN,{"在编","调岗","新增","优化"}))/G4</f>
        <v>0.0192307692307692</v>
      </c>
      <c r="H15" s="74" cm="1">
        <f t="array" ref="H15">SUM(COUNTIFS(人员调整计划!$G:$G,$A4,人员调整计划!$AD:$AD,"HR",人员调整计划!BO:BO,{"在编","调岗","新增","优化"}))/H4</f>
        <v>0.0175438596491228</v>
      </c>
      <c r="I15" s="74" cm="1">
        <f t="array" ref="I15">SUM(COUNTIFS(人员调整计划!$G:$G,$A4,人员调整计划!$AD:$AD,"HR",人员调整计划!BP:BP,{"在编","调岗","新增","优化"}))/I4</f>
        <v>0.0158730158730159</v>
      </c>
      <c r="J15" s="74" cm="1">
        <f t="array" ref="J15">SUM(COUNTIFS(人员调整计划!$G:$G,$A4,人员调整计划!$AD:$AD,"HR",人员调整计划!BQ:BQ,{"在编","调岗","新增","优化"}))/J4</f>
        <v>0.0169491525423729</v>
      </c>
      <c r="K15" s="74" cm="1">
        <f t="array" ref="K15">SUM(COUNTIFS(人员调整计划!$G:$G,$A4,人员调整计划!$AD:$AD,"HR",人员调整计划!BR:BR,{"在编","调岗","新增","优化"}))/K4</f>
        <v>0.0178571428571429</v>
      </c>
      <c r="L15" s="74" cm="1">
        <f t="array" ref="L15">SUM(COUNTIFS(人员调整计划!$G:$G,$A4,人员调整计划!$AD:$AD,"HR",人员调整计划!BS:BS,{"在编","调岗","新增","优化"}))/L4</f>
        <v>0.0208333333333333</v>
      </c>
      <c r="M15" s="74" cm="1">
        <f t="array" ref="M15">SUM(COUNTIFS(人员调整计划!$G:$G,$A4,人员调整计划!$AD:$AD,"HR",人员调整计划!BT:BT,{"在编","调岗","新增","优化"}))/M4</f>
        <v>0.0208333333333333</v>
      </c>
      <c r="N15" s="74" cm="1">
        <f t="array" ref="N15">SUM(COUNTIFS(人员调整计划!$G:$G,$A4,人员调整计划!$AD:$AD,"HR",人员调整计划!BU:BU,{"在编","调岗","新增","优化"}))/N4</f>
        <v>0.0208333333333333</v>
      </c>
      <c r="O15" s="74" cm="1">
        <f t="array" ref="O15">SUM(COUNTIFS(人员调整计划!$G:$G,$A4,人员调整计划!$AD:$AD,"HR",人员调整计划!BV:BV,{"在编","调岗","新增","优化"}))/O4</f>
        <v>0.0208333333333333</v>
      </c>
      <c r="P15" s="75" cm="1">
        <f t="array" ref="P15">SUM(COUNTIFS(人员调整计划!$G:$G,$A4,人员调整计划!$AD:$AD,"HR",人员调整计划!BW:BW,{"在编","调岗","新增","优化"}))/P4</f>
        <v>0.0208333333333333</v>
      </c>
    </row>
    <row r="16" customHeight="1" spans="1:16">
      <c r="A16" s="70"/>
      <c r="B16" s="68"/>
      <c r="C16" s="72" t="s">
        <v>283</v>
      </c>
      <c r="D16" s="73">
        <f t="shared" si="0"/>
        <v>0.0208333333333333</v>
      </c>
      <c r="E16" s="74" cm="1">
        <f t="array" ref="E16">SUM(COUNTIFS(人员调整计划!$G:$G,$A4,人员调整计划!$AD:$AD,"理工",人员调整计划!BL:BL,{"在编","调岗","新增","优化"}))/E4</f>
        <v>0.0192307692307692</v>
      </c>
      <c r="F16" s="74" cm="1">
        <f t="array" ref="F16">SUM(COUNTIFS(人员调整计划!$G:$G,$A4,人员调整计划!$AD:$AD,"理工",人员调整计划!BM:BM,{"在编","调岗","新增","优化"}))/F4</f>
        <v>0.0192307692307692</v>
      </c>
      <c r="G16" s="74" cm="1">
        <f t="array" ref="G16">SUM(COUNTIFS(人员调整计划!$G:$G,$A4,人员调整计划!$AD:$AD,"理工",人员调整计划!BN:BN,{"在编","调岗","新增","优化"}))/G4</f>
        <v>0.0192307692307692</v>
      </c>
      <c r="H16" s="74" cm="1">
        <f t="array" ref="H16">SUM(COUNTIFS(人员调整计划!$G:$G,$A4,人员调整计划!$AD:$AD,"理工",人员调整计划!BO:BO,{"在编","调岗","新增","优化"}))/H4</f>
        <v>0.0175438596491228</v>
      </c>
      <c r="I16" s="74" cm="1">
        <f t="array" ref="I16">SUM(COUNTIFS(人员调整计划!$G:$G,$A4,人员调整计划!$AD:$AD,"理工",人员调整计划!BP:BP,{"在编","调岗","新增","优化"}))/I4</f>
        <v>0.0158730158730159</v>
      </c>
      <c r="J16" s="74" cm="1">
        <f t="array" ref="J16">SUM(COUNTIFS(人员调整计划!$G:$G,$A4,人员调整计划!$AD:$AD,"理工",人员调整计划!BQ:BQ,{"在编","调岗","新增","优化"}))/J4</f>
        <v>0.0169491525423729</v>
      </c>
      <c r="K16" s="74" cm="1">
        <f t="array" ref="K16">SUM(COUNTIFS(人员调整计划!$G:$G,$A4,人员调整计划!$AD:$AD,"理工",人员调整计划!BR:BR,{"在编","调岗","新增","优化"}))/K4</f>
        <v>0.0178571428571429</v>
      </c>
      <c r="L16" s="74" cm="1">
        <f t="array" ref="L16">SUM(COUNTIFS(人员调整计划!$G:$G,$A4,人员调整计划!$AD:$AD,"理工",人员调整计划!BS:BS,{"在编","调岗","新增","优化"}))/L4</f>
        <v>0.0208333333333333</v>
      </c>
      <c r="M16" s="74" cm="1">
        <f t="array" ref="M16">SUM(COUNTIFS(人员调整计划!$G:$G,$A4,人员调整计划!$AD:$AD,"理工",人员调整计划!BT:BT,{"在编","调岗","新增","优化"}))/M4</f>
        <v>0.0208333333333333</v>
      </c>
      <c r="N16" s="74" cm="1">
        <f t="array" ref="N16">SUM(COUNTIFS(人员调整计划!$G:$G,$A4,人员调整计划!$AD:$AD,"理工",人员调整计划!BU:BU,{"在编","调岗","新增","优化"}))/N4</f>
        <v>0.0208333333333333</v>
      </c>
      <c r="O16" s="74" cm="1">
        <f t="array" ref="O16">SUM(COUNTIFS(人员调整计划!$G:$G,$A4,人员调整计划!$AD:$AD,"理工",人员调整计划!BV:BV,{"在编","调岗","新增","优化"}))/O4</f>
        <v>0.0208333333333333</v>
      </c>
      <c r="P16" s="75" cm="1">
        <f t="array" ref="P16">SUM(COUNTIFS(人员调整计划!$G:$G,$A4,人员调整计划!$AD:$AD,"理工",人员调整计划!BW:BW,{"在编","调岗","新增","优化"}))/P4</f>
        <v>0.0208333333333333</v>
      </c>
    </row>
    <row r="17" customHeight="1" spans="1:16">
      <c r="A17" s="70"/>
      <c r="B17" s="68"/>
      <c r="C17" s="72" t="s">
        <v>284</v>
      </c>
      <c r="D17" s="73">
        <f t="shared" si="0"/>
        <v>0.125</v>
      </c>
      <c r="E17" s="74" cm="1">
        <f t="array" ref="E17">SUM(COUNTIFS(人员调整计划!$G:$G,$A4,人员调整计划!$AD:$AD,"数字化",人员调整计划!BL:BL,{"在编","调岗","新增","优化"}))/E4</f>
        <v>0.0384615384615385</v>
      </c>
      <c r="F17" s="74" cm="1">
        <f t="array" ref="F17">SUM(COUNTIFS(人员调整计划!$G:$G,$A4,人员调整计划!$AD:$AD,"数字化",人员调整计划!BM:BM,{"在编","调岗","新增","优化"}))/F4</f>
        <v>0.0384615384615385</v>
      </c>
      <c r="G17" s="74" cm="1">
        <f t="array" ref="G17">SUM(COUNTIFS(人员调整计划!$G:$G,$A4,人员调整计划!$AD:$AD,"数字化",人员调整计划!BN:BN,{"在编","调岗","新增","优化"}))/G4</f>
        <v>0.0384615384615385</v>
      </c>
      <c r="H17" s="74" cm="1">
        <f t="array" ref="H17">SUM(COUNTIFS(人员调整计划!$G:$G,$A4,人员调整计划!$AD:$AD,"数字化",人员调整计划!BO:BO,{"在编","调岗","新增","优化"}))/H4</f>
        <v>0.0701754385964912</v>
      </c>
      <c r="I17" s="74" cm="1">
        <f t="array" ref="I17">SUM(COUNTIFS(人员调整计划!$G:$G,$A4,人员调整计划!$AD:$AD,"数字化",人员调整计划!BP:BP,{"在编","调岗","新增","优化"}))/I4</f>
        <v>0.111111111111111</v>
      </c>
      <c r="J17" s="74" cm="1">
        <f t="array" ref="J17">SUM(COUNTIFS(人员调整计划!$G:$G,$A4,人员调整计划!$AD:$AD,"数字化",人员调整计划!BQ:BQ,{"在编","调岗","新增","优化"}))/J4</f>
        <v>0.11864406779661</v>
      </c>
      <c r="K17" s="74" cm="1">
        <f t="array" ref="K17">SUM(COUNTIFS(人员调整计划!$G:$G,$A4,人员调整计划!$AD:$AD,"数字化",人员调整计划!BR:BR,{"在编","调岗","新增","优化"}))/K4</f>
        <v>0.107142857142857</v>
      </c>
      <c r="L17" s="74" cm="1">
        <f t="array" ref="L17">SUM(COUNTIFS(人员调整计划!$G:$G,$A4,人员调整计划!$AD:$AD,"数字化",人员调整计划!BS:BS,{"在编","调岗","新增","优化"}))/L4</f>
        <v>0.125</v>
      </c>
      <c r="M17" s="74" cm="1">
        <f t="array" ref="M17">SUM(COUNTIFS(人员调整计划!$G:$G,$A4,人员调整计划!$AD:$AD,"数字化",人员调整计划!BT:BT,{"在编","调岗","新增","优化"}))/M4</f>
        <v>0.125</v>
      </c>
      <c r="N17" s="74" cm="1">
        <f t="array" ref="N17">SUM(COUNTIFS(人员调整计划!$G:$G,$A4,人员调整计划!$AD:$AD,"数字化",人员调整计划!BU:BU,{"在编","调岗","新增","优化"}))/N4</f>
        <v>0.125</v>
      </c>
      <c r="O17" s="74" cm="1">
        <f t="array" ref="O17">SUM(COUNTIFS(人员调整计划!$G:$G,$A4,人员调整计划!$AD:$AD,"数字化",人员调整计划!BV:BV,{"在编","调岗","新增","优化"}))/O4</f>
        <v>0.125</v>
      </c>
      <c r="P17" s="75" cm="1">
        <f t="array" ref="P17">SUM(COUNTIFS(人员调整计划!$G:$G,$A4,人员调整计划!$AD:$AD,"数字化",人员调整计划!BW:BW,{"在编","调岗","新增","优化"}))/P4</f>
        <v>0.125</v>
      </c>
    </row>
    <row r="18" customHeight="1" spans="1:16">
      <c r="A18" s="76"/>
      <c r="B18" s="77"/>
      <c r="C18" s="78" t="s">
        <v>285</v>
      </c>
      <c r="D18" s="79">
        <f t="shared" si="0"/>
        <v>0</v>
      </c>
      <c r="E18" s="79" cm="1">
        <f t="array" ref="E18">SUM(COUNTIFS(人员调整计划!$G:$G,$A4,人员调整计划!$AD:$AD,"英语",人员调整计划!BL:BL,{"在编","调岗","新增","优化"}))/E4</f>
        <v>0.0192307692307692</v>
      </c>
      <c r="F18" s="79" cm="1">
        <f t="array" ref="F18">SUM(COUNTIFS(人员调整计划!$G:$G,$A4,人员调整计划!$AD:$AD,"英语",人员调整计划!BM:BM,{"在编","调岗","新增","优化"}))/F4</f>
        <v>0.0192307692307692</v>
      </c>
      <c r="G18" s="79" cm="1">
        <f t="array" ref="G18">SUM(COUNTIFS(人员调整计划!$G:$G,$A4,人员调整计划!$AD:$AD,"英语",人员调整计划!BN:BN,{"在编","调岗","新增","优化"}))/G4</f>
        <v>0.0192307692307692</v>
      </c>
      <c r="H18" s="79" cm="1">
        <f t="array" ref="H18">SUM(COUNTIFS(人员调整计划!$G:$G,$A4,人员调整计划!$AD:$AD,"英语",人员调整计划!BO:BO,{"在编","调岗","新增","优化"}))/H4</f>
        <v>0.0175438596491228</v>
      </c>
      <c r="I18" s="79" cm="1">
        <f t="array" ref="I18">SUM(COUNTIFS(人员调整计划!$G:$G,$A4,人员调整计划!$AD:$AD,"英语",人员调整计划!BP:BP,{"在编","调岗","新增","优化"}))/I4</f>
        <v>0.0158730158730159</v>
      </c>
      <c r="J18" s="79" cm="1">
        <f t="array" ref="J18">SUM(COUNTIFS(人员调整计划!$G:$G,$A4,人员调整计划!$AD:$AD,"英语",人员调整计划!BQ:BQ,{"在编","调岗","新增","优化"}))/J4</f>
        <v>0</v>
      </c>
      <c r="K18" s="79" cm="1">
        <f t="array" ref="K18">SUM(COUNTIFS(人员调整计划!$G:$G,$A4,人员调整计划!$AD:$AD,"英语",人员调整计划!BR:BR,{"在编","调岗","新增","优化"}))/K4</f>
        <v>0</v>
      </c>
      <c r="L18" s="79" cm="1">
        <f t="array" ref="L18">SUM(COUNTIFS(人员调整计划!$G:$G,$A4,人员调整计划!$AD:$AD,"英语",人员调整计划!BS:BS,{"在编","调岗","新增","优化"}))/L4</f>
        <v>0</v>
      </c>
      <c r="M18" s="79" cm="1">
        <f t="array" ref="M18">SUM(COUNTIFS(人员调整计划!$G:$G,$A4,人员调整计划!$AD:$AD,"英语",人员调整计划!BT:BT,{"在编","调岗","新增","优化"}))/M4</f>
        <v>0</v>
      </c>
      <c r="N18" s="79" cm="1">
        <f t="array" ref="N18">SUM(COUNTIFS(人员调整计划!$G:$G,$A4,人员调整计划!$AD:$AD,"英语",人员调整计划!BU:BU,{"在编","调岗","新增","优化"}))/N4</f>
        <v>0</v>
      </c>
      <c r="O18" s="79" cm="1">
        <f t="array" ref="O18">SUM(COUNTIFS(人员调整计划!$G:$G,$A4,人员调整计划!$AD:$AD,"英语",人员调整计划!BV:BV,{"在编","调岗","新增","优化"}))/O4</f>
        <v>0</v>
      </c>
      <c r="P18" s="80" cm="1">
        <f t="array" ref="P18">SUM(COUNTIFS(人员调整计划!$G:$G,$A4,人员调整计划!$AD:$AD,"英语",人员调整计划!BW:BW,{"在编","调岗","新增","优化"}))/P4</f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3:C18" etc:filterBottomFollowUsedRange="0">
    <extLst/>
  </autoFilter>
  <mergeCells count="8">
    <mergeCell ref="A1:P1"/>
    <mergeCell ref="B2:C2"/>
    <mergeCell ref="A2:A3"/>
    <mergeCell ref="A4:A18"/>
    <mergeCell ref="B4:B7"/>
    <mergeCell ref="B8:B9"/>
    <mergeCell ref="B13:B18"/>
    <mergeCell ref="D2:D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71"/>
  <sheetViews>
    <sheetView zoomScale="70" zoomScaleNormal="70" workbookViewId="0">
      <pane ySplit="2" topLeftCell="A21" activePane="bottomLeft" state="frozen"/>
      <selection/>
      <selection pane="bottomLeft" activeCell="BY14" sqref="BY14"/>
    </sheetView>
  </sheetViews>
  <sheetFormatPr defaultColWidth="9" defaultRowHeight="18" customHeight="1"/>
  <cols>
    <col min="1" max="1" width="7.7962962962963" style="3" customWidth="1"/>
    <col min="2" max="2" width="9.07407407407407" style="3" customWidth="1"/>
    <col min="3" max="3" width="15.712962962963" style="3" customWidth="1"/>
    <col min="4" max="5" width="9.07407407407407" style="3" customWidth="1"/>
    <col min="6" max="6" width="18.8240740740741" style="3" customWidth="1"/>
    <col min="7" max="7" width="9" style="4" customWidth="1"/>
    <col min="8" max="8" width="9.60185185185185" style="4" customWidth="1"/>
    <col min="9" max="9" width="9.07407407407407" style="4" hidden="1" customWidth="1"/>
    <col min="10" max="10" width="11.2685185185185" style="3" hidden="1" customWidth="1"/>
    <col min="11" max="17" width="9.07407407407407" style="3" hidden="1" customWidth="1"/>
    <col min="18" max="18" width="13" style="3" hidden="1" customWidth="1"/>
    <col min="19" max="19" width="7.2037037037037" style="3" hidden="1" customWidth="1"/>
    <col min="20" max="20" width="56.3425925925926" style="3" hidden="1" customWidth="1"/>
    <col min="21" max="21" width="9.07407407407407" style="3" hidden="1" customWidth="1"/>
    <col min="22" max="22" width="21" style="3" hidden="1" customWidth="1"/>
    <col min="23" max="23" width="9.07407407407407" style="3" hidden="1" customWidth="1"/>
    <col min="24" max="24" width="48.6666666666667" style="3" hidden="1" customWidth="1"/>
    <col min="25" max="25" width="6.92592592592593" style="3" hidden="1" customWidth="1"/>
    <col min="26" max="26" width="17.5555555555556" style="3" hidden="1" customWidth="1"/>
    <col min="27" max="27" width="17.6574074074074" style="5" hidden="1" customWidth="1"/>
    <col min="28" max="28" width="10.462962962963" style="3" hidden="1" customWidth="1"/>
    <col min="29" max="29" width="10.9259259259259" style="3" hidden="1" customWidth="1"/>
    <col min="30" max="30" width="9.65740740740741" style="4" hidden="1" customWidth="1"/>
    <col min="31" max="32" width="15.2222222222222" style="3" hidden="1" customWidth="1"/>
    <col min="33" max="33" width="9.07407407407407" style="3" hidden="1" customWidth="1"/>
    <col min="34" max="34" width="9.2037037037037" style="6" hidden="1" customWidth="1"/>
    <col min="35" max="37" width="9" style="3" hidden="1" customWidth="1"/>
    <col min="38" max="39" width="11.2685185185185" style="3" hidden="1" customWidth="1"/>
    <col min="40" max="40" width="19.2685185185185" style="3" hidden="1" customWidth="1"/>
    <col min="41" max="42" width="9" style="3" hidden="1" customWidth="1"/>
    <col min="43" max="43" width="19.9259259259259" style="3" hidden="1" customWidth="1"/>
    <col min="44" max="59" width="9" style="3" hidden="1" customWidth="1"/>
    <col min="60" max="61" width="9.2037037037037" style="3" hidden="1" customWidth="1"/>
    <col min="62" max="62" width="17.3333333333333" style="3" hidden="1" customWidth="1"/>
    <col min="63" max="63" width="9" style="3" hidden="1" customWidth="1"/>
    <col min="64" max="75" width="9.07407407407407" style="4" customWidth="1"/>
    <col min="76" max="85" width="9.07407407407407" style="7"/>
    <col min="86" max="16363" width="9.07407407407407" style="3"/>
    <col min="16364" max="16384" width="9" style="3"/>
  </cols>
  <sheetData>
    <row r="1" ht="34" customHeight="1" spans="1:86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</row>
    <row r="2" s="1" customFormat="1" ht="25" customHeight="1" spans="1:86">
      <c r="A2" s="9" t="s">
        <v>287</v>
      </c>
      <c r="B2" s="10" t="s">
        <v>2</v>
      </c>
      <c r="C2" s="10" t="s">
        <v>288</v>
      </c>
      <c r="D2" s="10" t="s">
        <v>289</v>
      </c>
      <c r="E2" s="10" t="s">
        <v>4</v>
      </c>
      <c r="F2" s="10" t="s">
        <v>3</v>
      </c>
      <c r="G2" s="10" t="s">
        <v>290</v>
      </c>
      <c r="H2" s="10" t="s">
        <v>291</v>
      </c>
      <c r="I2" s="10" t="s">
        <v>292</v>
      </c>
      <c r="J2" s="10" t="s">
        <v>17</v>
      </c>
      <c r="K2" s="10" t="s">
        <v>293</v>
      </c>
      <c r="L2" s="10" t="s">
        <v>294</v>
      </c>
      <c r="M2" s="10" t="s">
        <v>19</v>
      </c>
      <c r="N2" s="10" t="s">
        <v>295</v>
      </c>
      <c r="O2" s="10" t="s">
        <v>296</v>
      </c>
      <c r="P2" s="10" t="s">
        <v>297</v>
      </c>
      <c r="Q2" s="10" t="s">
        <v>298</v>
      </c>
      <c r="R2" s="10" t="s">
        <v>299</v>
      </c>
      <c r="S2" s="10" t="s">
        <v>11</v>
      </c>
      <c r="T2" s="10" t="s">
        <v>300</v>
      </c>
      <c r="U2" s="10" t="s">
        <v>301</v>
      </c>
      <c r="V2" s="10" t="s">
        <v>302</v>
      </c>
      <c r="W2" s="10" t="s">
        <v>303</v>
      </c>
      <c r="X2" s="10" t="s">
        <v>304</v>
      </c>
      <c r="Y2" s="10" t="s">
        <v>8</v>
      </c>
      <c r="Z2" s="10" t="s">
        <v>7</v>
      </c>
      <c r="AA2" s="11" t="s">
        <v>305</v>
      </c>
      <c r="AB2" s="10" t="s">
        <v>306</v>
      </c>
      <c r="AC2" s="10" t="s">
        <v>307</v>
      </c>
      <c r="AD2" s="10" t="s">
        <v>308</v>
      </c>
      <c r="AE2" s="10" t="s">
        <v>309</v>
      </c>
      <c r="AF2" s="10" t="s">
        <v>310</v>
      </c>
      <c r="AG2" s="10" t="s">
        <v>311</v>
      </c>
      <c r="AH2" s="12" t="s">
        <v>12</v>
      </c>
      <c r="AI2" s="9" t="s">
        <v>312</v>
      </c>
      <c r="AJ2" s="9" t="s">
        <v>313</v>
      </c>
      <c r="AK2" s="9" t="s">
        <v>314</v>
      </c>
      <c r="AL2" s="9" t="s">
        <v>315</v>
      </c>
      <c r="AM2" s="9" t="s">
        <v>316</v>
      </c>
      <c r="AN2" s="9" t="s">
        <v>317</v>
      </c>
      <c r="AO2" s="13" t="s">
        <v>312</v>
      </c>
      <c r="AP2" s="13" t="s">
        <v>318</v>
      </c>
      <c r="AQ2" s="13" t="s">
        <v>315</v>
      </c>
      <c r="AR2" s="13" t="s">
        <v>316</v>
      </c>
      <c r="AS2" s="13" t="s">
        <v>317</v>
      </c>
      <c r="AT2" s="13" t="s">
        <v>319</v>
      </c>
      <c r="AU2" s="13" t="s">
        <v>320</v>
      </c>
      <c r="AV2" s="13" t="s">
        <v>321</v>
      </c>
      <c r="AW2" s="13" t="s">
        <v>322</v>
      </c>
      <c r="AX2" s="13" t="s">
        <v>323</v>
      </c>
      <c r="AY2" s="9" t="s">
        <v>324</v>
      </c>
      <c r="AZ2" s="9" t="s">
        <v>325</v>
      </c>
      <c r="BA2" s="9" t="s">
        <v>326</v>
      </c>
      <c r="BB2" s="9" t="s">
        <v>327</v>
      </c>
      <c r="BC2" s="9" t="s">
        <v>328</v>
      </c>
      <c r="BD2" s="9" t="s">
        <v>329</v>
      </c>
      <c r="BE2" s="9" t="s">
        <v>330</v>
      </c>
      <c r="BF2" s="9" t="s">
        <v>331</v>
      </c>
      <c r="BG2" s="9" t="s">
        <v>332</v>
      </c>
      <c r="BH2" s="9" t="s">
        <v>333</v>
      </c>
      <c r="BI2" s="9" t="s">
        <v>334</v>
      </c>
      <c r="BJ2" s="9" t="s">
        <v>335</v>
      </c>
      <c r="BK2" s="9" t="s">
        <v>336</v>
      </c>
      <c r="BL2" s="14" t="s">
        <v>251</v>
      </c>
      <c r="BM2" s="14" t="s">
        <v>252</v>
      </c>
      <c r="BN2" s="14" t="s">
        <v>253</v>
      </c>
      <c r="BO2" s="14" t="s">
        <v>254</v>
      </c>
      <c r="BP2" s="14" t="s">
        <v>255</v>
      </c>
      <c r="BQ2" s="14" t="s">
        <v>256</v>
      </c>
      <c r="BR2" s="14" t="s">
        <v>257</v>
      </c>
      <c r="BS2" s="14" t="s">
        <v>258</v>
      </c>
      <c r="BT2" s="14" t="s">
        <v>259</v>
      </c>
      <c r="BU2" s="14" t="s">
        <v>260</v>
      </c>
      <c r="BV2" s="14" t="s">
        <v>261</v>
      </c>
      <c r="BW2" s="14" t="s">
        <v>262</v>
      </c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6"/>
    </row>
    <row r="3" s="2" customFormat="1" customHeight="1" spans="1:86">
      <c r="A3" s="17" t="s">
        <v>337</v>
      </c>
      <c r="B3" s="18" t="s">
        <v>20</v>
      </c>
      <c r="C3" s="18" t="s">
        <v>21</v>
      </c>
      <c r="D3" s="136" t="s">
        <v>338</v>
      </c>
      <c r="E3" s="18" t="s">
        <v>22</v>
      </c>
      <c r="F3" s="18" t="s">
        <v>21</v>
      </c>
      <c r="G3" s="18" t="s">
        <v>22</v>
      </c>
      <c r="H3" s="18" t="s">
        <v>22</v>
      </c>
      <c r="I3" s="18" t="s">
        <v>339</v>
      </c>
      <c r="J3" s="20">
        <v>44419</v>
      </c>
      <c r="K3" s="21"/>
      <c r="L3" s="18"/>
      <c r="M3" s="17" t="s">
        <v>340</v>
      </c>
      <c r="O3" s="18" t="s">
        <v>341</v>
      </c>
      <c r="R3" s="18" t="s">
        <v>342</v>
      </c>
      <c r="S3" s="18" t="s">
        <v>27</v>
      </c>
      <c r="T3" s="17" t="s">
        <v>343</v>
      </c>
      <c r="V3" s="18" t="s">
        <v>344</v>
      </c>
      <c r="W3" s="18" t="s">
        <v>345</v>
      </c>
      <c r="X3" s="17" t="s">
        <v>346</v>
      </c>
      <c r="Y3" s="18" t="s">
        <v>26</v>
      </c>
      <c r="Z3" s="18" t="s">
        <v>25</v>
      </c>
      <c r="AA3" s="18" t="s">
        <v>24</v>
      </c>
      <c r="AB3" s="18" t="s">
        <v>26</v>
      </c>
      <c r="AC3" s="22" t="e">
        <v>#N/A</v>
      </c>
      <c r="AD3" s="23"/>
      <c r="AE3" s="24">
        <v>49857</v>
      </c>
      <c r="AF3" s="25">
        <v>32382</v>
      </c>
      <c r="AH3" s="26">
        <v>37</v>
      </c>
      <c r="AI3" s="18" t="s">
        <v>347</v>
      </c>
      <c r="AL3" s="20">
        <v>44215</v>
      </c>
      <c r="AM3" s="20">
        <v>44214</v>
      </c>
      <c r="AN3" s="18"/>
      <c r="AO3" s="23" t="s">
        <v>347</v>
      </c>
      <c r="AP3" s="23" t="s">
        <v>348</v>
      </c>
      <c r="AQ3" s="27">
        <v>44215</v>
      </c>
      <c r="AR3" s="27">
        <v>44214</v>
      </c>
      <c r="AS3" s="23"/>
      <c r="AT3" s="23" t="s">
        <v>23</v>
      </c>
      <c r="AU3" s="23" t="s">
        <v>349</v>
      </c>
      <c r="AV3" s="23" t="s">
        <v>350</v>
      </c>
      <c r="AW3" s="28">
        <v>44305</v>
      </c>
      <c r="AX3" s="29">
        <v>5</v>
      </c>
      <c r="BL3" s="13" t="s">
        <v>266</v>
      </c>
      <c r="BM3" s="13" t="s">
        <v>266</v>
      </c>
      <c r="BN3" s="13" t="s">
        <v>266</v>
      </c>
      <c r="BO3" s="13" t="s">
        <v>266</v>
      </c>
      <c r="BP3" s="13" t="s">
        <v>266</v>
      </c>
      <c r="BQ3" s="13" t="s">
        <v>266</v>
      </c>
      <c r="BR3" s="13" t="s">
        <v>266</v>
      </c>
      <c r="BS3" s="13" t="s">
        <v>266</v>
      </c>
      <c r="BT3" s="13" t="s">
        <v>266</v>
      </c>
      <c r="BU3" s="13" t="s">
        <v>266</v>
      </c>
      <c r="BV3" s="13" t="s">
        <v>266</v>
      </c>
      <c r="BW3" s="13" t="s">
        <v>266</v>
      </c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1"/>
    </row>
    <row r="4" s="2" customFormat="1" customHeight="1" spans="1:86">
      <c r="A4" s="17" t="s">
        <v>351</v>
      </c>
      <c r="B4" s="18" t="s">
        <v>29</v>
      </c>
      <c r="C4" s="18" t="s">
        <v>30</v>
      </c>
      <c r="D4" s="136" t="s">
        <v>338</v>
      </c>
      <c r="E4" s="18" t="s">
        <v>22</v>
      </c>
      <c r="F4" s="18" t="s">
        <v>30</v>
      </c>
      <c r="G4" s="18" t="s">
        <v>22</v>
      </c>
      <c r="H4" s="18" t="s">
        <v>22</v>
      </c>
      <c r="I4" s="18" t="s">
        <v>339</v>
      </c>
      <c r="J4" s="20">
        <v>44736</v>
      </c>
      <c r="K4" s="21"/>
      <c r="L4" s="18"/>
      <c r="M4" s="17"/>
      <c r="O4" s="18" t="s">
        <v>341</v>
      </c>
      <c r="R4" s="18" t="s">
        <v>352</v>
      </c>
      <c r="S4" s="18" t="s">
        <v>37</v>
      </c>
      <c r="T4" s="17" t="s">
        <v>353</v>
      </c>
      <c r="V4" s="18" t="s">
        <v>354</v>
      </c>
      <c r="W4" s="18" t="s">
        <v>355</v>
      </c>
      <c r="X4" s="17" t="s">
        <v>353</v>
      </c>
      <c r="Y4" s="18" t="s">
        <v>34</v>
      </c>
      <c r="Z4" s="18" t="s">
        <v>33</v>
      </c>
      <c r="AA4" s="18" t="s">
        <v>32</v>
      </c>
      <c r="AB4" s="18" t="s">
        <v>34</v>
      </c>
      <c r="AC4" s="22" t="s">
        <v>356</v>
      </c>
      <c r="AD4" s="23"/>
      <c r="AE4" s="24">
        <v>47631</v>
      </c>
      <c r="AF4" s="32">
        <v>36761</v>
      </c>
      <c r="AH4" s="26">
        <v>25</v>
      </c>
      <c r="AI4" s="18" t="s">
        <v>347</v>
      </c>
      <c r="AL4" s="20">
        <v>44585</v>
      </c>
      <c r="AM4" s="20">
        <v>44584</v>
      </c>
      <c r="AN4" s="18" t="s">
        <v>357</v>
      </c>
      <c r="AO4" s="23" t="s">
        <v>347</v>
      </c>
      <c r="AP4" s="23" t="s">
        <v>348</v>
      </c>
      <c r="AQ4" s="27">
        <v>44585</v>
      </c>
      <c r="AR4" s="27">
        <v>44584</v>
      </c>
      <c r="AS4" s="23" t="s">
        <v>357</v>
      </c>
      <c r="AT4" s="23" t="s">
        <v>31</v>
      </c>
      <c r="AU4" s="23" t="s">
        <v>358</v>
      </c>
      <c r="AV4" s="23" t="s">
        <v>350</v>
      </c>
      <c r="AW4" s="28">
        <v>44675</v>
      </c>
      <c r="AX4" s="29">
        <v>4</v>
      </c>
      <c r="BL4" s="13" t="s">
        <v>266</v>
      </c>
      <c r="BM4" s="13" t="s">
        <v>266</v>
      </c>
      <c r="BN4" s="13" t="s">
        <v>266</v>
      </c>
      <c r="BO4" s="13" t="s">
        <v>266</v>
      </c>
      <c r="BP4" s="13" t="s">
        <v>266</v>
      </c>
      <c r="BQ4" s="13" t="s">
        <v>266</v>
      </c>
      <c r="BR4" s="13" t="s">
        <v>266</v>
      </c>
      <c r="BS4" s="13" t="s">
        <v>266</v>
      </c>
      <c r="BT4" s="13" t="s">
        <v>266</v>
      </c>
      <c r="BU4" s="13" t="s">
        <v>266</v>
      </c>
      <c r="BV4" s="13" t="s">
        <v>266</v>
      </c>
      <c r="BW4" s="13" t="s">
        <v>266</v>
      </c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1"/>
    </row>
    <row r="5" s="2" customFormat="1" customHeight="1" spans="1:86">
      <c r="A5" s="17" t="s">
        <v>359</v>
      </c>
      <c r="B5" s="18" t="s">
        <v>40</v>
      </c>
      <c r="C5" s="33" t="s">
        <v>42</v>
      </c>
      <c r="D5" s="136" t="s">
        <v>338</v>
      </c>
      <c r="E5" s="18" t="s">
        <v>22</v>
      </c>
      <c r="F5" s="18" t="s">
        <v>41</v>
      </c>
      <c r="G5" s="18" t="s">
        <v>22</v>
      </c>
      <c r="H5" s="18" t="s">
        <v>22</v>
      </c>
      <c r="I5" s="18" t="s">
        <v>339</v>
      </c>
      <c r="J5" s="20">
        <v>45770</v>
      </c>
      <c r="K5" s="21"/>
      <c r="L5" s="18"/>
      <c r="M5" s="17"/>
      <c r="O5" s="18" t="s">
        <v>341</v>
      </c>
      <c r="R5" s="18" t="s">
        <v>360</v>
      </c>
      <c r="S5" s="18" t="s">
        <v>27</v>
      </c>
      <c r="T5" s="17" t="s">
        <v>361</v>
      </c>
      <c r="V5" s="18" t="s">
        <v>362</v>
      </c>
      <c r="W5" s="18" t="s">
        <v>345</v>
      </c>
      <c r="X5" s="17" t="s">
        <v>363</v>
      </c>
      <c r="Y5" s="18" t="s">
        <v>34</v>
      </c>
      <c r="Z5" s="18" t="s">
        <v>45</v>
      </c>
      <c r="AA5" s="18" t="s">
        <v>44</v>
      </c>
      <c r="AB5" s="18" t="s">
        <v>34</v>
      </c>
      <c r="AC5" s="22" t="s">
        <v>348</v>
      </c>
      <c r="AD5" s="23"/>
      <c r="AE5" s="24">
        <v>47656</v>
      </c>
      <c r="AF5" s="32">
        <v>27492</v>
      </c>
      <c r="AH5" s="26">
        <v>31</v>
      </c>
      <c r="AI5" s="18" t="s">
        <v>347</v>
      </c>
      <c r="AL5" s="20">
        <v>45770</v>
      </c>
      <c r="AM5" s="20">
        <v>45769</v>
      </c>
      <c r="AN5" s="18" t="s">
        <v>357</v>
      </c>
      <c r="AO5" s="23" t="s">
        <v>347</v>
      </c>
      <c r="AP5" s="23" t="s">
        <v>348</v>
      </c>
      <c r="AQ5" s="27">
        <v>45770</v>
      </c>
      <c r="AR5" s="27">
        <v>45769</v>
      </c>
      <c r="AS5" s="23" t="s">
        <v>357</v>
      </c>
      <c r="AT5" s="23" t="s">
        <v>43</v>
      </c>
      <c r="AU5" s="23" t="s">
        <v>364</v>
      </c>
      <c r="AV5" s="23" t="s">
        <v>350</v>
      </c>
      <c r="AW5" s="28">
        <v>45861</v>
      </c>
      <c r="AX5" s="29">
        <v>0</v>
      </c>
      <c r="BL5" s="13" t="s">
        <v>266</v>
      </c>
      <c r="BM5" s="13" t="s">
        <v>266</v>
      </c>
      <c r="BN5" s="13" t="s">
        <v>266</v>
      </c>
      <c r="BO5" s="13" t="s">
        <v>266</v>
      </c>
      <c r="BP5" s="13" t="s">
        <v>266</v>
      </c>
      <c r="BQ5" s="13" t="s">
        <v>266</v>
      </c>
      <c r="BR5" s="13" t="s">
        <v>266</v>
      </c>
      <c r="BS5" s="13" t="s">
        <v>266</v>
      </c>
      <c r="BT5" s="13" t="s">
        <v>266</v>
      </c>
      <c r="BU5" s="13" t="s">
        <v>266</v>
      </c>
      <c r="BV5" s="13" t="s">
        <v>266</v>
      </c>
      <c r="BW5" s="13" t="s">
        <v>266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1"/>
    </row>
    <row r="6" s="2" customFormat="1" customHeight="1" spans="1:86">
      <c r="A6" s="17" t="s">
        <v>365</v>
      </c>
      <c r="B6" s="18" t="s">
        <v>47</v>
      </c>
      <c r="C6" s="33" t="s">
        <v>42</v>
      </c>
      <c r="D6" s="136" t="s">
        <v>338</v>
      </c>
      <c r="E6" s="18" t="s">
        <v>22</v>
      </c>
      <c r="F6" s="18" t="s">
        <v>52</v>
      </c>
      <c r="G6" s="18" t="s">
        <v>22</v>
      </c>
      <c r="H6" s="18" t="s">
        <v>22</v>
      </c>
      <c r="I6" s="18" t="s">
        <v>339</v>
      </c>
      <c r="J6" s="20">
        <v>44419</v>
      </c>
      <c r="K6" s="21"/>
      <c r="L6" s="18"/>
      <c r="M6" s="17" t="s">
        <v>366</v>
      </c>
      <c r="O6" s="18" t="s">
        <v>341</v>
      </c>
      <c r="R6" s="18" t="s">
        <v>367</v>
      </c>
      <c r="S6" s="18" t="s">
        <v>27</v>
      </c>
      <c r="T6" s="17" t="s">
        <v>368</v>
      </c>
      <c r="V6" s="18" t="s">
        <v>369</v>
      </c>
      <c r="W6" s="18" t="s">
        <v>345</v>
      </c>
      <c r="X6" s="17" t="s">
        <v>370</v>
      </c>
      <c r="Y6" s="18" t="s">
        <v>26</v>
      </c>
      <c r="Z6" s="18" t="s">
        <v>25</v>
      </c>
      <c r="AA6" s="18" t="s">
        <v>50</v>
      </c>
      <c r="AB6" s="18" t="s">
        <v>26</v>
      </c>
      <c r="AC6" s="22" t="s">
        <v>348</v>
      </c>
      <c r="AD6" s="23"/>
      <c r="AE6" s="24">
        <v>49666</v>
      </c>
      <c r="AF6" s="32">
        <v>29214</v>
      </c>
      <c r="AH6" s="26">
        <v>43</v>
      </c>
      <c r="AI6" s="18" t="s">
        <v>347</v>
      </c>
      <c r="AL6" s="20">
        <v>44419</v>
      </c>
      <c r="AM6" s="20">
        <v>44783</v>
      </c>
      <c r="AN6" s="18" t="s">
        <v>357</v>
      </c>
      <c r="AO6" s="23" t="s">
        <v>347</v>
      </c>
      <c r="AP6" s="23" t="s">
        <v>348</v>
      </c>
      <c r="AQ6" s="27">
        <v>44419</v>
      </c>
      <c r="AR6" s="27">
        <v>44783</v>
      </c>
      <c r="AS6" s="23" t="s">
        <v>357</v>
      </c>
      <c r="AT6" s="23" t="s">
        <v>371</v>
      </c>
      <c r="AU6" s="23" t="s">
        <v>349</v>
      </c>
      <c r="AV6" s="23" t="s">
        <v>350</v>
      </c>
      <c r="AW6" s="28">
        <v>44511</v>
      </c>
      <c r="AX6" s="29">
        <v>4</v>
      </c>
      <c r="BL6" s="13" t="s">
        <v>266</v>
      </c>
      <c r="BM6" s="13" t="s">
        <v>266</v>
      </c>
      <c r="BN6" s="13" t="s">
        <v>266</v>
      </c>
      <c r="BO6" s="13" t="s">
        <v>266</v>
      </c>
      <c r="BP6" s="13" t="s">
        <v>266</v>
      </c>
      <c r="BQ6" s="13" t="s">
        <v>266</v>
      </c>
      <c r="BR6" s="13" t="s">
        <v>266</v>
      </c>
      <c r="BS6" s="13" t="s">
        <v>266</v>
      </c>
      <c r="BT6" s="13" t="s">
        <v>266</v>
      </c>
      <c r="BU6" s="13" t="s">
        <v>266</v>
      </c>
      <c r="BV6" s="13" t="s">
        <v>266</v>
      </c>
      <c r="BW6" s="13" t="s">
        <v>266</v>
      </c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1"/>
    </row>
    <row r="7" s="2" customFormat="1" customHeight="1" spans="1:86">
      <c r="A7" s="17" t="s">
        <v>372</v>
      </c>
      <c r="B7" s="18" t="s">
        <v>51</v>
      </c>
      <c r="C7" s="33" t="s">
        <v>42</v>
      </c>
      <c r="D7" s="136" t="s">
        <v>338</v>
      </c>
      <c r="E7" s="18" t="s">
        <v>22</v>
      </c>
      <c r="F7" s="18" t="s">
        <v>52</v>
      </c>
      <c r="G7" s="18" t="s">
        <v>22</v>
      </c>
      <c r="H7" s="18" t="s">
        <v>22</v>
      </c>
      <c r="I7" s="18" t="s">
        <v>339</v>
      </c>
      <c r="J7" s="20">
        <v>44736</v>
      </c>
      <c r="K7" s="21"/>
      <c r="L7" s="18"/>
      <c r="M7" s="17" t="s">
        <v>366</v>
      </c>
      <c r="O7" s="18" t="s">
        <v>341</v>
      </c>
      <c r="R7" s="18" t="s">
        <v>373</v>
      </c>
      <c r="S7" s="18" t="s">
        <v>27</v>
      </c>
      <c r="T7" s="17" t="s">
        <v>374</v>
      </c>
      <c r="V7" s="18" t="s">
        <v>375</v>
      </c>
      <c r="W7" s="18" t="s">
        <v>345</v>
      </c>
      <c r="X7" s="17" t="s">
        <v>374</v>
      </c>
      <c r="Y7" s="18" t="s">
        <v>55</v>
      </c>
      <c r="Z7" s="18" t="s">
        <v>54</v>
      </c>
      <c r="AA7" s="18" t="s">
        <v>53</v>
      </c>
      <c r="AB7" s="18" t="s">
        <v>55</v>
      </c>
      <c r="AC7" s="22" t="s">
        <v>348</v>
      </c>
      <c r="AD7" s="23"/>
      <c r="AE7" s="24">
        <v>52517</v>
      </c>
      <c r="AF7" s="32">
        <v>32971</v>
      </c>
      <c r="AH7" s="26">
        <v>37</v>
      </c>
      <c r="AI7" s="18" t="s">
        <v>347</v>
      </c>
      <c r="AL7" s="20">
        <v>44736</v>
      </c>
      <c r="AM7" s="20">
        <v>44735</v>
      </c>
      <c r="AN7" s="18" t="s">
        <v>357</v>
      </c>
      <c r="AO7" s="23" t="s">
        <v>347</v>
      </c>
      <c r="AP7" s="23" t="s">
        <v>348</v>
      </c>
      <c r="AQ7" s="27">
        <v>44736</v>
      </c>
      <c r="AR7" s="27">
        <v>44735</v>
      </c>
      <c r="AS7" s="23" t="s">
        <v>357</v>
      </c>
      <c r="AT7" s="23" t="s">
        <v>31</v>
      </c>
      <c r="AU7" s="23" t="s">
        <v>358</v>
      </c>
      <c r="AV7" s="23" t="s">
        <v>350</v>
      </c>
      <c r="AW7" s="28">
        <v>44828</v>
      </c>
      <c r="AX7" s="29">
        <v>3</v>
      </c>
      <c r="BL7" s="13" t="s">
        <v>266</v>
      </c>
      <c r="BM7" s="13" t="s">
        <v>266</v>
      </c>
      <c r="BN7" s="13" t="s">
        <v>266</v>
      </c>
      <c r="BO7" s="13" t="s">
        <v>266</v>
      </c>
      <c r="BP7" s="13" t="s">
        <v>267</v>
      </c>
      <c r="BQ7" s="13"/>
      <c r="BR7" s="13"/>
      <c r="BS7" s="13"/>
      <c r="BT7" s="13"/>
      <c r="BU7" s="13"/>
      <c r="BV7" s="13"/>
      <c r="BW7" s="13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1"/>
    </row>
    <row r="8" s="2" customFormat="1" customHeight="1" spans="1:86">
      <c r="A8" s="17" t="s">
        <v>376</v>
      </c>
      <c r="B8" s="18" t="s">
        <v>56</v>
      </c>
      <c r="C8" s="33" t="s">
        <v>42</v>
      </c>
      <c r="D8" s="136" t="s">
        <v>338</v>
      </c>
      <c r="E8" s="18" t="s">
        <v>22</v>
      </c>
      <c r="F8" s="18" t="s">
        <v>52</v>
      </c>
      <c r="G8" s="18" t="s">
        <v>22</v>
      </c>
      <c r="H8" s="18" t="s">
        <v>22</v>
      </c>
      <c r="I8" s="18" t="s">
        <v>339</v>
      </c>
      <c r="J8" s="20">
        <v>45700</v>
      </c>
      <c r="K8" s="21"/>
      <c r="L8" s="18"/>
      <c r="M8" s="17" t="s">
        <v>377</v>
      </c>
      <c r="O8" s="18" t="s">
        <v>378</v>
      </c>
      <c r="R8" s="18" t="s">
        <v>379</v>
      </c>
      <c r="S8" s="18" t="s">
        <v>27</v>
      </c>
      <c r="T8" s="17" t="s">
        <v>380</v>
      </c>
      <c r="V8" s="18" t="s">
        <v>381</v>
      </c>
      <c r="W8" s="18" t="s">
        <v>345</v>
      </c>
      <c r="X8" s="17" t="s">
        <v>382</v>
      </c>
      <c r="Y8" s="18" t="s">
        <v>26</v>
      </c>
      <c r="Z8" s="18" t="s">
        <v>25</v>
      </c>
      <c r="AA8" s="18" t="s">
        <v>58</v>
      </c>
      <c r="AB8" s="18" t="s">
        <v>26</v>
      </c>
      <c r="AC8" s="22" t="s">
        <v>348</v>
      </c>
      <c r="AD8" s="23"/>
      <c r="AE8" s="24">
        <v>52431</v>
      </c>
      <c r="AF8" s="32">
        <v>29773</v>
      </c>
      <c r="AH8" s="26">
        <v>31</v>
      </c>
      <c r="AI8" s="18" t="s">
        <v>347</v>
      </c>
      <c r="AL8" s="20">
        <v>44795</v>
      </c>
      <c r="AM8" s="20">
        <v>44794</v>
      </c>
      <c r="AN8" s="18" t="s">
        <v>357</v>
      </c>
      <c r="AO8" s="23" t="s">
        <v>347</v>
      </c>
      <c r="AP8" s="23" t="s">
        <v>348</v>
      </c>
      <c r="AQ8" s="27">
        <v>44795</v>
      </c>
      <c r="AR8" s="27">
        <v>44794</v>
      </c>
      <c r="AS8" s="23" t="s">
        <v>357</v>
      </c>
      <c r="AT8" s="23" t="s">
        <v>383</v>
      </c>
      <c r="AU8" s="23" t="s">
        <v>358</v>
      </c>
      <c r="AV8" s="23" t="s">
        <v>350</v>
      </c>
      <c r="AW8" s="28">
        <v>44887</v>
      </c>
      <c r="AX8" s="29">
        <v>3</v>
      </c>
      <c r="BL8" s="13" t="s">
        <v>266</v>
      </c>
      <c r="BM8" s="13" t="s">
        <v>266</v>
      </c>
      <c r="BN8" s="13" t="s">
        <v>266</v>
      </c>
      <c r="BO8" s="13" t="s">
        <v>267</v>
      </c>
      <c r="BP8" s="13"/>
      <c r="BQ8" s="13"/>
      <c r="BR8" s="13"/>
      <c r="BS8" s="13"/>
      <c r="BT8" s="13"/>
      <c r="BU8" s="13"/>
      <c r="BV8" s="13"/>
      <c r="BW8" s="13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1"/>
    </row>
    <row r="9" s="2" customFormat="1" customHeight="1" spans="1:86">
      <c r="A9" s="17" t="s">
        <v>384</v>
      </c>
      <c r="B9" s="18" t="s">
        <v>59</v>
      </c>
      <c r="C9" s="33" t="s">
        <v>42</v>
      </c>
      <c r="D9" s="136" t="s">
        <v>338</v>
      </c>
      <c r="E9" s="18" t="s">
        <v>22</v>
      </c>
      <c r="F9" s="18" t="s">
        <v>52</v>
      </c>
      <c r="G9" s="18" t="s">
        <v>22</v>
      </c>
      <c r="H9" s="18" t="s">
        <v>22</v>
      </c>
      <c r="I9" s="18" t="s">
        <v>339</v>
      </c>
      <c r="J9" s="20">
        <v>45715</v>
      </c>
      <c r="K9" s="21"/>
      <c r="L9" s="18"/>
      <c r="M9" s="17"/>
      <c r="O9" s="18" t="s">
        <v>341</v>
      </c>
      <c r="R9" s="18" t="s">
        <v>385</v>
      </c>
      <c r="S9" s="18" t="s">
        <v>27</v>
      </c>
      <c r="T9" s="17" t="s">
        <v>386</v>
      </c>
      <c r="V9" s="18" t="s">
        <v>387</v>
      </c>
      <c r="W9" s="18" t="s">
        <v>355</v>
      </c>
      <c r="X9" s="17" t="s">
        <v>388</v>
      </c>
      <c r="Y9" s="18" t="s">
        <v>55</v>
      </c>
      <c r="Z9" s="18" t="s">
        <v>62</v>
      </c>
      <c r="AA9" s="18" t="s">
        <v>61</v>
      </c>
      <c r="AB9" s="18" t="s">
        <v>55</v>
      </c>
      <c r="AC9" s="22" t="s">
        <v>348</v>
      </c>
      <c r="AD9" s="23"/>
      <c r="AE9" s="24">
        <v>46378</v>
      </c>
      <c r="AF9" s="32">
        <v>30125</v>
      </c>
      <c r="AH9" s="26">
        <v>28</v>
      </c>
      <c r="AI9" s="18" t="s">
        <v>347</v>
      </c>
      <c r="AL9" s="20">
        <v>45579</v>
      </c>
      <c r="AM9" s="20">
        <v>45578</v>
      </c>
      <c r="AN9" s="18" t="s">
        <v>357</v>
      </c>
      <c r="AO9" s="23" t="s">
        <v>347</v>
      </c>
      <c r="AP9" s="23" t="s">
        <v>348</v>
      </c>
      <c r="AQ9" s="27">
        <v>45579</v>
      </c>
      <c r="AR9" s="27">
        <v>45578</v>
      </c>
      <c r="AS9" s="23" t="s">
        <v>357</v>
      </c>
      <c r="AT9" s="23" t="s">
        <v>60</v>
      </c>
      <c r="AU9" s="23" t="s">
        <v>389</v>
      </c>
      <c r="AV9" s="23" t="s">
        <v>350</v>
      </c>
      <c r="AW9" s="28">
        <v>45671</v>
      </c>
      <c r="AX9" s="29">
        <v>1</v>
      </c>
      <c r="BL9" s="13" t="s">
        <v>266</v>
      </c>
      <c r="BM9" s="13" t="s">
        <v>266</v>
      </c>
      <c r="BN9" s="13" t="s">
        <v>266</v>
      </c>
      <c r="BO9" s="13" t="s">
        <v>266</v>
      </c>
      <c r="BP9" s="13" t="s">
        <v>266</v>
      </c>
      <c r="BQ9" s="13" t="s">
        <v>266</v>
      </c>
      <c r="BR9" s="13" t="s">
        <v>266</v>
      </c>
      <c r="BS9" s="13" t="s">
        <v>266</v>
      </c>
      <c r="BT9" s="13" t="s">
        <v>266</v>
      </c>
      <c r="BU9" s="13" t="s">
        <v>266</v>
      </c>
      <c r="BV9" s="13" t="s">
        <v>266</v>
      </c>
      <c r="BW9" s="13" t="s">
        <v>266</v>
      </c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1"/>
    </row>
    <row r="10" s="2" customFormat="1" customHeight="1" spans="1:86">
      <c r="A10" s="17" t="s">
        <v>390</v>
      </c>
      <c r="B10" s="18" t="s">
        <v>63</v>
      </c>
      <c r="C10" s="33" t="s">
        <v>42</v>
      </c>
      <c r="D10" s="136" t="s">
        <v>338</v>
      </c>
      <c r="E10" s="18" t="s">
        <v>22</v>
      </c>
      <c r="F10" s="18" t="s">
        <v>52</v>
      </c>
      <c r="G10" s="18" t="s">
        <v>22</v>
      </c>
      <c r="H10" s="18" t="s">
        <v>22</v>
      </c>
      <c r="I10" s="18" t="s">
        <v>339</v>
      </c>
      <c r="J10" s="20">
        <v>45603</v>
      </c>
      <c r="K10" s="21"/>
      <c r="L10" s="18"/>
      <c r="M10" s="17"/>
      <c r="O10" s="18" t="s">
        <v>378</v>
      </c>
      <c r="R10" s="18" t="s">
        <v>391</v>
      </c>
      <c r="S10" s="18" t="s">
        <v>27</v>
      </c>
      <c r="T10" s="17" t="s">
        <v>392</v>
      </c>
      <c r="V10" s="18" t="s">
        <v>393</v>
      </c>
      <c r="W10" s="18" t="s">
        <v>355</v>
      </c>
      <c r="X10" s="17" t="s">
        <v>394</v>
      </c>
      <c r="Y10" s="18" t="s">
        <v>55</v>
      </c>
      <c r="Z10" s="18" t="s">
        <v>66</v>
      </c>
      <c r="AA10" s="18" t="s">
        <v>65</v>
      </c>
      <c r="AB10" s="18" t="s">
        <v>55</v>
      </c>
      <c r="AC10" s="22" t="s">
        <v>348</v>
      </c>
      <c r="AD10" s="23"/>
      <c r="AE10" s="24">
        <v>52675</v>
      </c>
      <c r="AF10" s="32">
        <v>32042</v>
      </c>
      <c r="AH10" s="26">
        <v>31</v>
      </c>
      <c r="AI10" s="18" t="s">
        <v>347</v>
      </c>
      <c r="AL10" s="20">
        <v>45603</v>
      </c>
      <c r="AM10" s="20">
        <v>45602</v>
      </c>
      <c r="AN10" s="18" t="s">
        <v>357</v>
      </c>
      <c r="AO10" s="23" t="s">
        <v>347</v>
      </c>
      <c r="AP10" s="23" t="s">
        <v>348</v>
      </c>
      <c r="AQ10" s="27">
        <v>45603</v>
      </c>
      <c r="AR10" s="27">
        <v>45602</v>
      </c>
      <c r="AS10" s="23" t="s">
        <v>357</v>
      </c>
      <c r="AT10" s="23" t="s">
        <v>64</v>
      </c>
      <c r="AU10" s="23" t="s">
        <v>389</v>
      </c>
      <c r="AV10" s="23" t="s">
        <v>350</v>
      </c>
      <c r="AW10" s="28">
        <v>45695</v>
      </c>
      <c r="AX10" s="29">
        <v>1</v>
      </c>
      <c r="BL10" s="13" t="s">
        <v>266</v>
      </c>
      <c r="BM10" s="13" t="s">
        <v>266</v>
      </c>
      <c r="BN10" s="13" t="s">
        <v>266</v>
      </c>
      <c r="BO10" s="13" t="s">
        <v>266</v>
      </c>
      <c r="BP10" s="13" t="s">
        <v>266</v>
      </c>
      <c r="BQ10" s="13" t="s">
        <v>266</v>
      </c>
      <c r="BR10" s="13" t="s">
        <v>266</v>
      </c>
      <c r="BS10" s="13" t="s">
        <v>266</v>
      </c>
      <c r="BT10" s="13" t="s">
        <v>266</v>
      </c>
      <c r="BU10" s="13" t="s">
        <v>266</v>
      </c>
      <c r="BV10" s="13" t="s">
        <v>266</v>
      </c>
      <c r="BW10" s="13" t="s">
        <v>266</v>
      </c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1"/>
    </row>
    <row r="11" s="2" customFormat="1" customHeight="1" spans="1:86">
      <c r="A11" s="17" t="s">
        <v>395</v>
      </c>
      <c r="B11" s="18" t="s">
        <v>67</v>
      </c>
      <c r="C11" s="33" t="s">
        <v>42</v>
      </c>
      <c r="D11" s="136" t="s">
        <v>338</v>
      </c>
      <c r="E11" s="18" t="s">
        <v>22</v>
      </c>
      <c r="F11" s="18" t="s">
        <v>52</v>
      </c>
      <c r="G11" s="18" t="s">
        <v>22</v>
      </c>
      <c r="H11" s="18" t="s">
        <v>22</v>
      </c>
      <c r="I11" s="18" t="s">
        <v>339</v>
      </c>
      <c r="J11" s="20">
        <v>45770</v>
      </c>
      <c r="K11" s="21"/>
      <c r="L11" s="18"/>
      <c r="M11" s="17"/>
      <c r="O11" s="18" t="s">
        <v>341</v>
      </c>
      <c r="R11" s="18" t="s">
        <v>396</v>
      </c>
      <c r="S11" s="18" t="s">
        <v>27</v>
      </c>
      <c r="T11" s="17" t="s">
        <v>397</v>
      </c>
      <c r="V11" s="18" t="s">
        <v>398</v>
      </c>
      <c r="W11" s="18" t="s">
        <v>355</v>
      </c>
      <c r="X11" s="17" t="s">
        <v>399</v>
      </c>
      <c r="Y11" s="18" t="s">
        <v>26</v>
      </c>
      <c r="Z11" s="18" t="s">
        <v>25</v>
      </c>
      <c r="AA11" s="18" t="s">
        <v>69</v>
      </c>
      <c r="AB11" s="18" t="s">
        <v>26</v>
      </c>
      <c r="AC11" s="22" t="s">
        <v>348</v>
      </c>
      <c r="AD11" s="23"/>
      <c r="AE11" s="24">
        <v>48982</v>
      </c>
      <c r="AF11" s="32">
        <v>31021</v>
      </c>
      <c r="AH11" s="26">
        <v>26</v>
      </c>
      <c r="AI11" s="18" t="s">
        <v>347</v>
      </c>
      <c r="AL11" s="20">
        <v>45700</v>
      </c>
      <c r="AM11" s="20">
        <v>45699</v>
      </c>
      <c r="AN11" s="18" t="s">
        <v>357</v>
      </c>
      <c r="AO11" s="23" t="s">
        <v>347</v>
      </c>
      <c r="AP11" s="23" t="s">
        <v>348</v>
      </c>
      <c r="AQ11" s="27">
        <v>45700</v>
      </c>
      <c r="AR11" s="27">
        <v>45699</v>
      </c>
      <c r="AS11" s="23" t="s">
        <v>357</v>
      </c>
      <c r="AT11" s="23" t="s">
        <v>400</v>
      </c>
      <c r="AU11" s="23" t="s">
        <v>364</v>
      </c>
      <c r="AV11" s="23" t="s">
        <v>350</v>
      </c>
      <c r="AW11" s="28">
        <v>45789</v>
      </c>
      <c r="AX11" s="29">
        <v>1</v>
      </c>
      <c r="BL11" s="13" t="s">
        <v>266</v>
      </c>
      <c r="BM11" s="13" t="s">
        <v>266</v>
      </c>
      <c r="BN11" s="13" t="s">
        <v>266</v>
      </c>
      <c r="BO11" s="13" t="s">
        <v>266</v>
      </c>
      <c r="BP11" s="13" t="s">
        <v>266</v>
      </c>
      <c r="BQ11" s="13" t="s">
        <v>266</v>
      </c>
      <c r="BR11" s="13" t="s">
        <v>266</v>
      </c>
      <c r="BS11" s="13" t="s">
        <v>266</v>
      </c>
      <c r="BT11" s="13" t="s">
        <v>266</v>
      </c>
      <c r="BU11" s="13" t="s">
        <v>266</v>
      </c>
      <c r="BV11" s="13" t="s">
        <v>266</v>
      </c>
      <c r="BW11" s="13" t="s">
        <v>266</v>
      </c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1"/>
    </row>
    <row r="12" s="2" customFormat="1" customHeight="1" spans="1:86">
      <c r="A12" s="17" t="s">
        <v>401</v>
      </c>
      <c r="B12" s="18" t="s">
        <v>70</v>
      </c>
      <c r="C12" s="33" t="s">
        <v>42</v>
      </c>
      <c r="D12" s="136" t="s">
        <v>338</v>
      </c>
      <c r="E12" s="18" t="s">
        <v>22</v>
      </c>
      <c r="F12" s="18" t="s">
        <v>52</v>
      </c>
      <c r="G12" s="18" t="s">
        <v>22</v>
      </c>
      <c r="H12" s="18" t="s">
        <v>22</v>
      </c>
      <c r="I12" s="18" t="s">
        <v>339</v>
      </c>
      <c r="J12" s="20">
        <v>45915</v>
      </c>
      <c r="K12" s="21"/>
      <c r="L12" s="18"/>
      <c r="M12" s="17"/>
      <c r="O12" s="18" t="s">
        <v>341</v>
      </c>
      <c r="R12" s="18" t="s">
        <v>402</v>
      </c>
      <c r="S12" s="18" t="s">
        <v>27</v>
      </c>
      <c r="T12" s="17" t="s">
        <v>403</v>
      </c>
      <c r="V12" s="18" t="s">
        <v>404</v>
      </c>
      <c r="W12" s="18" t="s">
        <v>355</v>
      </c>
      <c r="X12" s="17" t="s">
        <v>405</v>
      </c>
      <c r="Y12" s="18" t="s">
        <v>55</v>
      </c>
      <c r="Z12" s="18" t="s">
        <v>73</v>
      </c>
      <c r="AA12" s="18" t="s">
        <v>72</v>
      </c>
      <c r="AB12" s="18" t="s">
        <v>55</v>
      </c>
      <c r="AC12" s="22" t="s">
        <v>348</v>
      </c>
      <c r="AD12" s="23"/>
      <c r="AE12" s="24">
        <v>48689</v>
      </c>
      <c r="AF12" s="32">
        <v>30966</v>
      </c>
      <c r="AH12" s="26">
        <v>22</v>
      </c>
      <c r="AI12" s="18" t="s">
        <v>406</v>
      </c>
      <c r="AL12" s="20">
        <v>45715</v>
      </c>
      <c r="AM12" s="20">
        <v>45714</v>
      </c>
      <c r="AN12" s="18" t="s">
        <v>357</v>
      </c>
      <c r="AO12" s="23" t="s">
        <v>406</v>
      </c>
      <c r="AP12" s="23" t="s">
        <v>348</v>
      </c>
      <c r="AQ12" s="27">
        <v>45715</v>
      </c>
      <c r="AR12" s="27">
        <v>45714</v>
      </c>
      <c r="AS12" s="23" t="s">
        <v>357</v>
      </c>
      <c r="AT12" s="23" t="s">
        <v>407</v>
      </c>
      <c r="AU12" s="23" t="s">
        <v>364</v>
      </c>
      <c r="AV12" s="23" t="s">
        <v>350</v>
      </c>
      <c r="AW12" s="28">
        <v>45804</v>
      </c>
      <c r="AX12" s="29">
        <v>1</v>
      </c>
      <c r="BL12" s="13" t="s">
        <v>266</v>
      </c>
      <c r="BM12" s="13" t="s">
        <v>266</v>
      </c>
      <c r="BN12" s="13" t="s">
        <v>266</v>
      </c>
      <c r="BO12" s="13" t="s">
        <v>266</v>
      </c>
      <c r="BP12" s="13" t="s">
        <v>266</v>
      </c>
      <c r="BQ12" s="13" t="s">
        <v>266</v>
      </c>
      <c r="BR12" s="13" t="s">
        <v>266</v>
      </c>
      <c r="BS12" s="13" t="s">
        <v>266</v>
      </c>
      <c r="BT12" s="13" t="s">
        <v>266</v>
      </c>
      <c r="BU12" s="13" t="s">
        <v>266</v>
      </c>
      <c r="BV12" s="13" t="s">
        <v>266</v>
      </c>
      <c r="BW12" s="13" t="s">
        <v>266</v>
      </c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1"/>
    </row>
    <row r="13" s="2" customFormat="1" customHeight="1" spans="1:86">
      <c r="A13" s="17" t="s">
        <v>408</v>
      </c>
      <c r="B13" s="18" t="s">
        <v>74</v>
      </c>
      <c r="C13" s="33" t="s">
        <v>42</v>
      </c>
      <c r="D13" s="136" t="s">
        <v>338</v>
      </c>
      <c r="E13" s="18" t="s">
        <v>22</v>
      </c>
      <c r="F13" s="18" t="s">
        <v>52</v>
      </c>
      <c r="G13" s="18" t="s">
        <v>22</v>
      </c>
      <c r="H13" s="18" t="s">
        <v>22</v>
      </c>
      <c r="I13" s="18" t="s">
        <v>339</v>
      </c>
      <c r="J13" s="20">
        <v>45720</v>
      </c>
      <c r="K13" s="21"/>
      <c r="L13" s="18"/>
      <c r="M13" s="17"/>
      <c r="O13" s="18" t="s">
        <v>378</v>
      </c>
      <c r="R13" s="18" t="s">
        <v>409</v>
      </c>
      <c r="S13" s="18" t="s">
        <v>27</v>
      </c>
      <c r="T13" s="17" t="s">
        <v>410</v>
      </c>
      <c r="V13" s="18" t="s">
        <v>411</v>
      </c>
      <c r="W13" s="18" t="s">
        <v>355</v>
      </c>
      <c r="X13" s="17" t="s">
        <v>412</v>
      </c>
      <c r="Y13" s="18" t="s">
        <v>55</v>
      </c>
      <c r="Z13" s="18" t="s">
        <v>77</v>
      </c>
      <c r="AA13" s="18" t="s">
        <v>76</v>
      </c>
      <c r="AB13" s="18" t="s">
        <v>55</v>
      </c>
      <c r="AC13" s="22" t="s">
        <v>348</v>
      </c>
      <c r="AD13" s="23"/>
      <c r="AE13" s="24">
        <v>47723</v>
      </c>
      <c r="AF13" s="32">
        <v>29236</v>
      </c>
      <c r="AH13" s="26">
        <v>23</v>
      </c>
      <c r="AI13" s="18" t="s">
        <v>347</v>
      </c>
      <c r="AL13" s="20">
        <v>45720</v>
      </c>
      <c r="AM13" s="20">
        <v>45719</v>
      </c>
      <c r="AN13" s="18" t="s">
        <v>357</v>
      </c>
      <c r="AO13" s="23" t="s">
        <v>347</v>
      </c>
      <c r="AP13" s="23" t="s">
        <v>348</v>
      </c>
      <c r="AQ13" s="27">
        <v>45720</v>
      </c>
      <c r="AR13" s="27">
        <v>45719</v>
      </c>
      <c r="AS13" s="23" t="s">
        <v>357</v>
      </c>
      <c r="AT13" s="23" t="s">
        <v>75</v>
      </c>
      <c r="AU13" s="23" t="s">
        <v>364</v>
      </c>
      <c r="AV13" s="23" t="s">
        <v>350</v>
      </c>
      <c r="AW13" s="28">
        <v>45812</v>
      </c>
      <c r="AX13" s="29">
        <v>1</v>
      </c>
      <c r="BL13" s="13" t="s">
        <v>266</v>
      </c>
      <c r="BM13" s="13" t="s">
        <v>266</v>
      </c>
      <c r="BN13" s="13" t="s">
        <v>266</v>
      </c>
      <c r="BO13" s="13" t="s">
        <v>266</v>
      </c>
      <c r="BP13" s="13" t="s">
        <v>266</v>
      </c>
      <c r="BQ13" s="13" t="s">
        <v>266</v>
      </c>
      <c r="BR13" s="13" t="s">
        <v>266</v>
      </c>
      <c r="BS13" s="13" t="s">
        <v>266</v>
      </c>
      <c r="BT13" s="13" t="s">
        <v>266</v>
      </c>
      <c r="BU13" s="13" t="s">
        <v>266</v>
      </c>
      <c r="BV13" s="13" t="s">
        <v>266</v>
      </c>
      <c r="BW13" s="13" t="s">
        <v>266</v>
      </c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1"/>
    </row>
    <row r="14" s="2" customFormat="1" customHeight="1" spans="1:86">
      <c r="A14" s="17" t="s">
        <v>413</v>
      </c>
      <c r="B14" s="18" t="s">
        <v>78</v>
      </c>
      <c r="C14" s="33" t="s">
        <v>42</v>
      </c>
      <c r="D14" s="136" t="s">
        <v>338</v>
      </c>
      <c r="E14" s="18" t="s">
        <v>22</v>
      </c>
      <c r="F14" s="18" t="s">
        <v>52</v>
      </c>
      <c r="G14" s="18" t="s">
        <v>22</v>
      </c>
      <c r="H14" s="18" t="s">
        <v>22</v>
      </c>
      <c r="I14" s="18" t="s">
        <v>339</v>
      </c>
      <c r="J14" s="20">
        <v>46058</v>
      </c>
      <c r="K14" s="21"/>
      <c r="L14" s="18"/>
      <c r="M14" s="17"/>
      <c r="O14" s="18" t="s">
        <v>414</v>
      </c>
      <c r="R14" s="18" t="s">
        <v>415</v>
      </c>
      <c r="S14" s="18" t="s">
        <v>27</v>
      </c>
      <c r="T14" s="17" t="s">
        <v>416</v>
      </c>
      <c r="V14" s="18" t="s">
        <v>417</v>
      </c>
      <c r="W14" s="18" t="s">
        <v>355</v>
      </c>
      <c r="X14" s="17" t="s">
        <v>418</v>
      </c>
      <c r="Y14" s="18" t="s">
        <v>26</v>
      </c>
      <c r="Z14" s="18" t="s">
        <v>25</v>
      </c>
      <c r="AA14" s="18" t="s">
        <v>80</v>
      </c>
      <c r="AB14" s="18" t="s">
        <v>26</v>
      </c>
      <c r="AC14" s="22" t="s">
        <v>348</v>
      </c>
      <c r="AD14" s="23"/>
      <c r="AE14" s="24">
        <v>47377</v>
      </c>
      <c r="AF14" s="32">
        <v>35700</v>
      </c>
      <c r="AH14" s="26">
        <v>29</v>
      </c>
      <c r="AI14" s="18" t="s">
        <v>347</v>
      </c>
      <c r="AL14" s="20">
        <v>45912</v>
      </c>
      <c r="AM14" s="20">
        <v>45911</v>
      </c>
      <c r="AN14" s="18" t="s">
        <v>357</v>
      </c>
      <c r="AO14" s="23" t="s">
        <v>347</v>
      </c>
      <c r="AP14" s="23" t="s">
        <v>348</v>
      </c>
      <c r="AQ14" s="27">
        <v>45912</v>
      </c>
      <c r="AR14" s="27">
        <v>45911</v>
      </c>
      <c r="AS14" s="23" t="s">
        <v>357</v>
      </c>
      <c r="AT14" s="23" t="s">
        <v>419</v>
      </c>
      <c r="AU14" s="23" t="s">
        <v>364</v>
      </c>
      <c r="AV14" s="23" t="s">
        <v>350</v>
      </c>
      <c r="AW14" s="28">
        <v>46003</v>
      </c>
      <c r="AX14" s="29">
        <v>0</v>
      </c>
      <c r="BL14" s="13" t="s">
        <v>266</v>
      </c>
      <c r="BM14" s="13" t="s">
        <v>266</v>
      </c>
      <c r="BN14" s="13" t="s">
        <v>266</v>
      </c>
      <c r="BO14" s="13" t="s">
        <v>266</v>
      </c>
      <c r="BP14" s="13" t="s">
        <v>266</v>
      </c>
      <c r="BQ14" s="13" t="s">
        <v>266</v>
      </c>
      <c r="BR14" s="13" t="s">
        <v>266</v>
      </c>
      <c r="BS14" s="13" t="s">
        <v>266</v>
      </c>
      <c r="BT14" s="13" t="s">
        <v>266</v>
      </c>
      <c r="BU14" s="13" t="s">
        <v>266</v>
      </c>
      <c r="BV14" s="13" t="s">
        <v>266</v>
      </c>
      <c r="BW14" s="13" t="s">
        <v>266</v>
      </c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1"/>
    </row>
    <row r="15" s="2" customFormat="1" customHeight="1" spans="1:86">
      <c r="A15" s="17" t="s">
        <v>420</v>
      </c>
      <c r="B15" s="18" t="s">
        <v>81</v>
      </c>
      <c r="C15" s="33" t="s">
        <v>42</v>
      </c>
      <c r="D15" s="136" t="s">
        <v>338</v>
      </c>
      <c r="E15" s="18" t="s">
        <v>22</v>
      </c>
      <c r="F15" s="18" t="s">
        <v>52</v>
      </c>
      <c r="G15" s="18" t="s">
        <v>22</v>
      </c>
      <c r="H15" s="18" t="s">
        <v>22</v>
      </c>
      <c r="I15" s="18" t="s">
        <v>339</v>
      </c>
      <c r="J15" s="20">
        <v>45964</v>
      </c>
      <c r="K15" s="21"/>
      <c r="L15" s="18"/>
      <c r="M15" s="17"/>
      <c r="O15" s="18" t="s">
        <v>341</v>
      </c>
      <c r="R15" s="18" t="s">
        <v>421</v>
      </c>
      <c r="S15" s="18" t="s">
        <v>27</v>
      </c>
      <c r="T15" s="17" t="s">
        <v>422</v>
      </c>
      <c r="V15" s="18" t="s">
        <v>423</v>
      </c>
      <c r="W15" s="18" t="s">
        <v>355</v>
      </c>
      <c r="X15" s="17" t="s">
        <v>424</v>
      </c>
      <c r="Y15" s="18" t="s">
        <v>55</v>
      </c>
      <c r="Z15" s="18" t="s">
        <v>84</v>
      </c>
      <c r="AA15" s="18" t="s">
        <v>83</v>
      </c>
      <c r="AB15" s="18" t="s">
        <v>55</v>
      </c>
      <c r="AC15" s="22" t="s">
        <v>348</v>
      </c>
      <c r="AD15" s="23"/>
      <c r="AE15" s="24">
        <v>46218</v>
      </c>
      <c r="AF15" s="32">
        <v>32711</v>
      </c>
      <c r="AH15" s="26">
        <v>26</v>
      </c>
      <c r="AI15" s="18" t="s">
        <v>347</v>
      </c>
      <c r="AL15" s="20">
        <v>45964</v>
      </c>
      <c r="AM15" s="20">
        <v>45963</v>
      </c>
      <c r="AN15" s="18" t="s">
        <v>357</v>
      </c>
      <c r="AO15" s="23" t="s">
        <v>347</v>
      </c>
      <c r="AP15" s="23" t="s">
        <v>348</v>
      </c>
      <c r="AQ15" s="27">
        <v>45964</v>
      </c>
      <c r="AR15" s="27">
        <v>45963</v>
      </c>
      <c r="AS15" s="23" t="s">
        <v>357</v>
      </c>
      <c r="AT15" s="23" t="s">
        <v>82</v>
      </c>
      <c r="AU15" s="23" t="s">
        <v>364</v>
      </c>
      <c r="AV15" s="23" t="s">
        <v>350</v>
      </c>
      <c r="AW15" s="28">
        <v>46056</v>
      </c>
      <c r="AX15" s="29">
        <v>0</v>
      </c>
      <c r="BL15" s="13" t="s">
        <v>266</v>
      </c>
      <c r="BM15" s="13" t="s">
        <v>266</v>
      </c>
      <c r="BN15" s="13" t="s">
        <v>266</v>
      </c>
      <c r="BO15" s="13" t="s">
        <v>266</v>
      </c>
      <c r="BP15" s="13" t="s">
        <v>266</v>
      </c>
      <c r="BQ15" s="13" t="s">
        <v>266</v>
      </c>
      <c r="BR15" s="13" t="s">
        <v>266</v>
      </c>
      <c r="BS15" s="13" t="s">
        <v>266</v>
      </c>
      <c r="BT15" s="13" t="s">
        <v>266</v>
      </c>
      <c r="BU15" s="13" t="s">
        <v>266</v>
      </c>
      <c r="BV15" s="13" t="s">
        <v>266</v>
      </c>
      <c r="BW15" s="13" t="s">
        <v>266</v>
      </c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1"/>
    </row>
    <row r="16" s="2" customFormat="1" customHeight="1" spans="1:86">
      <c r="A16" s="17" t="s">
        <v>425</v>
      </c>
      <c r="B16" s="18" t="s">
        <v>85</v>
      </c>
      <c r="C16" s="33" t="s">
        <v>42</v>
      </c>
      <c r="D16" s="136" t="s">
        <v>338</v>
      </c>
      <c r="E16" s="18" t="s">
        <v>22</v>
      </c>
      <c r="F16" s="18" t="s">
        <v>52</v>
      </c>
      <c r="G16" s="18" t="s">
        <v>22</v>
      </c>
      <c r="H16" s="18" t="s">
        <v>22</v>
      </c>
      <c r="I16" s="18" t="s">
        <v>339</v>
      </c>
      <c r="J16" s="20">
        <v>46002</v>
      </c>
      <c r="K16" s="21"/>
      <c r="L16" s="18"/>
      <c r="M16" s="17"/>
      <c r="O16" s="18" t="s">
        <v>414</v>
      </c>
      <c r="R16" s="18" t="s">
        <v>426</v>
      </c>
      <c r="S16" s="18" t="s">
        <v>27</v>
      </c>
      <c r="T16" s="17" t="s">
        <v>427</v>
      </c>
      <c r="V16" s="18" t="s">
        <v>428</v>
      </c>
      <c r="W16" s="18" t="s">
        <v>355</v>
      </c>
      <c r="X16" s="17"/>
      <c r="Y16" s="18" t="s">
        <v>34</v>
      </c>
      <c r="Z16" s="18" t="s">
        <v>88</v>
      </c>
      <c r="AA16" s="18" t="s">
        <v>87</v>
      </c>
      <c r="AB16" s="18" t="s">
        <v>34</v>
      </c>
      <c r="AC16" s="22" t="s">
        <v>348</v>
      </c>
      <c r="AD16" s="23"/>
      <c r="AE16" s="24">
        <v>48101</v>
      </c>
      <c r="AF16" s="32">
        <v>37184</v>
      </c>
      <c r="AH16" s="26">
        <v>26</v>
      </c>
      <c r="AI16" s="18" t="s">
        <v>347</v>
      </c>
      <c r="AL16" s="20">
        <v>46002</v>
      </c>
      <c r="AM16" s="20">
        <v>46001</v>
      </c>
      <c r="AN16" s="18" t="s">
        <v>357</v>
      </c>
      <c r="AO16" s="23" t="s">
        <v>347</v>
      </c>
      <c r="AP16" s="23" t="s">
        <v>348</v>
      </c>
      <c r="AQ16" s="27">
        <v>46002</v>
      </c>
      <c r="AR16" s="27">
        <v>46001</v>
      </c>
      <c r="AS16" s="23" t="s">
        <v>357</v>
      </c>
      <c r="AT16" s="23" t="s">
        <v>86</v>
      </c>
      <c r="AU16" s="23" t="s">
        <v>364</v>
      </c>
      <c r="AV16" s="23" t="s">
        <v>350</v>
      </c>
      <c r="AW16" s="28">
        <v>46092</v>
      </c>
      <c r="AX16" s="29">
        <v>0</v>
      </c>
      <c r="BL16" s="13" t="s">
        <v>266</v>
      </c>
      <c r="BM16" s="13" t="s">
        <v>266</v>
      </c>
      <c r="BN16" s="13" t="s">
        <v>266</v>
      </c>
      <c r="BO16" s="13" t="s">
        <v>266</v>
      </c>
      <c r="BP16" s="13" t="s">
        <v>266</v>
      </c>
      <c r="BQ16" s="13" t="s">
        <v>266</v>
      </c>
      <c r="BR16" s="13" t="s">
        <v>266</v>
      </c>
      <c r="BS16" s="13" t="s">
        <v>266</v>
      </c>
      <c r="BT16" s="13" t="s">
        <v>266</v>
      </c>
      <c r="BU16" s="13" t="s">
        <v>266</v>
      </c>
      <c r="BV16" s="13" t="s">
        <v>266</v>
      </c>
      <c r="BW16" s="13" t="s">
        <v>266</v>
      </c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1"/>
    </row>
    <row r="17" s="2" customFormat="1" customHeight="1" spans="1:86">
      <c r="A17" s="17" t="s">
        <v>429</v>
      </c>
      <c r="B17" s="18" t="s">
        <v>90</v>
      </c>
      <c r="C17" s="33" t="s">
        <v>42</v>
      </c>
      <c r="D17" s="136" t="s">
        <v>338</v>
      </c>
      <c r="E17" s="18" t="s">
        <v>22</v>
      </c>
      <c r="F17" s="18" t="s">
        <v>52</v>
      </c>
      <c r="G17" s="18" t="s">
        <v>22</v>
      </c>
      <c r="H17" s="18" t="s">
        <v>22</v>
      </c>
      <c r="I17" s="18" t="s">
        <v>339</v>
      </c>
      <c r="J17" s="20">
        <v>46058</v>
      </c>
      <c r="K17" s="21"/>
      <c r="L17" s="18"/>
      <c r="M17" s="17"/>
      <c r="O17" s="18" t="s">
        <v>341</v>
      </c>
      <c r="R17" s="18" t="s">
        <v>430</v>
      </c>
      <c r="S17" s="18" t="s">
        <v>27</v>
      </c>
      <c r="T17" s="17" t="s">
        <v>431</v>
      </c>
      <c r="V17" s="18" t="s">
        <v>432</v>
      </c>
      <c r="W17" s="18" t="s">
        <v>355</v>
      </c>
      <c r="X17" s="17" t="s">
        <v>433</v>
      </c>
      <c r="Y17" s="18" t="s">
        <v>26</v>
      </c>
      <c r="Z17" s="18" t="s">
        <v>25</v>
      </c>
      <c r="AA17" s="18" t="s">
        <v>92</v>
      </c>
      <c r="AB17" s="18" t="s">
        <v>26</v>
      </c>
      <c r="AC17" s="22" t="s">
        <v>348</v>
      </c>
      <c r="AD17" s="23"/>
      <c r="AE17" s="24">
        <v>48732</v>
      </c>
      <c r="AF17" s="32">
        <v>33256</v>
      </c>
      <c r="AH17" s="26">
        <v>24</v>
      </c>
      <c r="AI17" s="18" t="s">
        <v>347</v>
      </c>
      <c r="AL17" s="20">
        <v>46058</v>
      </c>
      <c r="AM17" s="20">
        <v>46057</v>
      </c>
      <c r="AN17" s="18" t="s">
        <v>357</v>
      </c>
      <c r="AO17" s="23" t="s">
        <v>347</v>
      </c>
      <c r="AP17" s="23" t="s">
        <v>348</v>
      </c>
      <c r="AQ17" s="27">
        <v>46058</v>
      </c>
      <c r="AR17" s="27">
        <v>46057</v>
      </c>
      <c r="AS17" s="23" t="s">
        <v>357</v>
      </c>
      <c r="AT17" s="23" t="s">
        <v>434</v>
      </c>
      <c r="AU17" s="23" t="s">
        <v>435</v>
      </c>
      <c r="AV17" s="23" t="s">
        <v>350</v>
      </c>
      <c r="AW17" s="28">
        <v>46147</v>
      </c>
      <c r="AX17" s="29">
        <v>0</v>
      </c>
      <c r="BL17" s="13" t="s">
        <v>266</v>
      </c>
      <c r="BM17" s="13" t="s">
        <v>266</v>
      </c>
      <c r="BN17" s="13" t="s">
        <v>266</v>
      </c>
      <c r="BO17" s="13" t="s">
        <v>266</v>
      </c>
      <c r="BP17" s="13" t="s">
        <v>266</v>
      </c>
      <c r="BQ17" s="13" t="s">
        <v>266</v>
      </c>
      <c r="BR17" s="13" t="s">
        <v>266</v>
      </c>
      <c r="BS17" s="13" t="s">
        <v>266</v>
      </c>
      <c r="BT17" s="13" t="s">
        <v>266</v>
      </c>
      <c r="BU17" s="13" t="s">
        <v>266</v>
      </c>
      <c r="BV17" s="13" t="s">
        <v>266</v>
      </c>
      <c r="BW17" s="13" t="s">
        <v>266</v>
      </c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1"/>
    </row>
    <row r="18" s="2" customFormat="1" customHeight="1" spans="1:86">
      <c r="A18" s="17" t="s">
        <v>436</v>
      </c>
      <c r="B18" s="18" t="s">
        <v>93</v>
      </c>
      <c r="C18" s="33" t="s">
        <v>95</v>
      </c>
      <c r="D18" s="136" t="s">
        <v>338</v>
      </c>
      <c r="E18" s="18" t="s">
        <v>22</v>
      </c>
      <c r="F18" s="18" t="s">
        <v>94</v>
      </c>
      <c r="G18" s="18" t="s">
        <v>22</v>
      </c>
      <c r="H18" s="18" t="s">
        <v>22</v>
      </c>
      <c r="I18" s="18" t="s">
        <v>339</v>
      </c>
      <c r="J18" s="20">
        <v>44256</v>
      </c>
      <c r="K18" s="21"/>
      <c r="L18" s="18"/>
      <c r="M18" s="17" t="s">
        <v>437</v>
      </c>
      <c r="O18" s="18" t="s">
        <v>414</v>
      </c>
      <c r="R18" s="18" t="s">
        <v>438</v>
      </c>
      <c r="S18" s="18" t="s">
        <v>37</v>
      </c>
      <c r="T18" s="17" t="s">
        <v>439</v>
      </c>
      <c r="V18" s="18" t="s">
        <v>440</v>
      </c>
      <c r="W18" s="18" t="s">
        <v>345</v>
      </c>
      <c r="X18" s="17" t="s">
        <v>441</v>
      </c>
      <c r="Y18" s="18" t="s">
        <v>34</v>
      </c>
      <c r="Z18" s="18" t="s">
        <v>96</v>
      </c>
      <c r="AA18" s="18" t="s">
        <v>87</v>
      </c>
      <c r="AB18" s="18" t="s">
        <v>34</v>
      </c>
      <c r="AC18" s="22" t="s">
        <v>348</v>
      </c>
      <c r="AD18" s="23"/>
      <c r="AE18" s="24">
        <v>53144</v>
      </c>
      <c r="AF18" s="32">
        <v>35598</v>
      </c>
      <c r="AH18" s="26">
        <v>27</v>
      </c>
      <c r="AI18" s="18" t="s">
        <v>347</v>
      </c>
      <c r="AL18" s="20">
        <v>44256</v>
      </c>
      <c r="AM18" s="20">
        <v>44620</v>
      </c>
      <c r="AN18" s="18" t="s">
        <v>357</v>
      </c>
      <c r="AO18" s="23" t="s">
        <v>347</v>
      </c>
      <c r="AP18" s="23" t="s">
        <v>348</v>
      </c>
      <c r="AQ18" s="27">
        <v>44256</v>
      </c>
      <c r="AR18" s="27">
        <v>44620</v>
      </c>
      <c r="AS18" s="23" t="s">
        <v>357</v>
      </c>
      <c r="AT18" s="23" t="s">
        <v>31</v>
      </c>
      <c r="AU18" s="23" t="s">
        <v>349</v>
      </c>
      <c r="AV18" s="23" t="s">
        <v>350</v>
      </c>
      <c r="AW18" s="28">
        <v>44348</v>
      </c>
      <c r="AX18" s="29">
        <v>5</v>
      </c>
      <c r="BL18" s="13" t="s">
        <v>266</v>
      </c>
      <c r="BM18" s="13" t="s">
        <v>266</v>
      </c>
      <c r="BN18" s="13" t="s">
        <v>266</v>
      </c>
      <c r="BO18" s="13" t="s">
        <v>266</v>
      </c>
      <c r="BP18" s="13" t="s">
        <v>266</v>
      </c>
      <c r="BQ18" s="13" t="s">
        <v>266</v>
      </c>
      <c r="BR18" s="13" t="s">
        <v>266</v>
      </c>
      <c r="BS18" s="13" t="s">
        <v>266</v>
      </c>
      <c r="BT18" s="13" t="s">
        <v>266</v>
      </c>
      <c r="BU18" s="13" t="s">
        <v>266</v>
      </c>
      <c r="BV18" s="13" t="s">
        <v>266</v>
      </c>
      <c r="BW18" s="13" t="s">
        <v>266</v>
      </c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1"/>
    </row>
    <row r="19" s="2" customFormat="1" customHeight="1" spans="1:86">
      <c r="A19" s="17" t="s">
        <v>442</v>
      </c>
      <c r="B19" s="18" t="s">
        <v>97</v>
      </c>
      <c r="C19" s="33" t="s">
        <v>95</v>
      </c>
      <c r="D19" s="136" t="s">
        <v>338</v>
      </c>
      <c r="E19" s="18" t="s">
        <v>22</v>
      </c>
      <c r="F19" s="18" t="s">
        <v>98</v>
      </c>
      <c r="G19" s="18" t="s">
        <v>22</v>
      </c>
      <c r="H19" s="18" t="s">
        <v>22</v>
      </c>
      <c r="I19" s="18" t="s">
        <v>339</v>
      </c>
      <c r="J19" s="20">
        <v>43794</v>
      </c>
      <c r="K19" s="21"/>
      <c r="L19" s="18"/>
      <c r="M19" s="17" t="s">
        <v>443</v>
      </c>
      <c r="O19" s="18" t="s">
        <v>341</v>
      </c>
      <c r="R19" s="18" t="s">
        <v>444</v>
      </c>
      <c r="S19" s="18" t="s">
        <v>27</v>
      </c>
      <c r="T19" s="17" t="s">
        <v>445</v>
      </c>
      <c r="V19" s="18" t="s">
        <v>446</v>
      </c>
      <c r="W19" s="18" t="s">
        <v>355</v>
      </c>
      <c r="X19" s="17" t="s">
        <v>447</v>
      </c>
      <c r="Y19" s="18" t="s">
        <v>34</v>
      </c>
      <c r="Z19" s="18" t="s">
        <v>101</v>
      </c>
      <c r="AA19" s="18" t="s">
        <v>100</v>
      </c>
      <c r="AB19" s="18" t="s">
        <v>34</v>
      </c>
      <c r="AC19" s="22" t="s">
        <v>348</v>
      </c>
      <c r="AD19" s="13" t="s">
        <v>448</v>
      </c>
      <c r="AE19" s="24">
        <v>46578</v>
      </c>
      <c r="AF19" s="32">
        <v>36944</v>
      </c>
      <c r="AH19" s="26">
        <v>29</v>
      </c>
      <c r="AI19" s="18" t="s">
        <v>347</v>
      </c>
      <c r="AL19" s="20">
        <v>43794</v>
      </c>
      <c r="AM19" s="20">
        <v>43791</v>
      </c>
      <c r="AN19" s="18" t="s">
        <v>357</v>
      </c>
      <c r="AO19" s="23" t="s">
        <v>347</v>
      </c>
      <c r="AP19" s="23" t="s">
        <v>348</v>
      </c>
      <c r="AQ19" s="27">
        <v>43794</v>
      </c>
      <c r="AR19" s="27">
        <v>43791</v>
      </c>
      <c r="AS19" s="23" t="s">
        <v>357</v>
      </c>
      <c r="AT19" s="23" t="s">
        <v>99</v>
      </c>
      <c r="AU19" s="23" t="s">
        <v>449</v>
      </c>
      <c r="AV19" s="23" t="s">
        <v>350</v>
      </c>
      <c r="AW19" s="28">
        <v>43884</v>
      </c>
      <c r="AX19" s="29">
        <v>6</v>
      </c>
      <c r="BL19" s="13" t="s">
        <v>266</v>
      </c>
      <c r="BM19" s="13" t="s">
        <v>266</v>
      </c>
      <c r="BN19" s="13" t="s">
        <v>266</v>
      </c>
      <c r="BO19" s="13" t="s">
        <v>266</v>
      </c>
      <c r="BP19" s="13" t="s">
        <v>266</v>
      </c>
      <c r="BQ19" s="13" t="s">
        <v>266</v>
      </c>
      <c r="BR19" s="13" t="s">
        <v>266</v>
      </c>
      <c r="BS19" s="13" t="s">
        <v>266</v>
      </c>
      <c r="BT19" s="13" t="s">
        <v>266</v>
      </c>
      <c r="BU19" s="13" t="s">
        <v>266</v>
      </c>
      <c r="BV19" s="13" t="s">
        <v>266</v>
      </c>
      <c r="BW19" s="13" t="s">
        <v>266</v>
      </c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1"/>
    </row>
    <row r="20" s="2" customFormat="1" customHeight="1" spans="1:86">
      <c r="A20" s="17" t="s">
        <v>450</v>
      </c>
      <c r="B20" s="18" t="s">
        <v>102</v>
      </c>
      <c r="C20" s="33" t="s">
        <v>95</v>
      </c>
      <c r="D20" s="136" t="s">
        <v>338</v>
      </c>
      <c r="E20" s="18" t="s">
        <v>22</v>
      </c>
      <c r="F20" s="18" t="s">
        <v>451</v>
      </c>
      <c r="G20" s="18" t="s">
        <v>22</v>
      </c>
      <c r="H20" s="18" t="s">
        <v>22</v>
      </c>
      <c r="I20" s="18" t="s">
        <v>339</v>
      </c>
      <c r="J20" s="20">
        <v>45860</v>
      </c>
      <c r="K20" s="21"/>
      <c r="L20" s="18"/>
      <c r="M20" s="17"/>
      <c r="O20" s="18" t="s">
        <v>341</v>
      </c>
      <c r="R20" s="18" t="s">
        <v>452</v>
      </c>
      <c r="S20" s="18" t="s">
        <v>27</v>
      </c>
      <c r="T20" s="17" t="s">
        <v>453</v>
      </c>
      <c r="V20" s="18" t="s">
        <v>454</v>
      </c>
      <c r="W20" s="18" t="s">
        <v>355</v>
      </c>
      <c r="X20" s="17" t="s">
        <v>455</v>
      </c>
      <c r="Y20" s="18" t="s">
        <v>34</v>
      </c>
      <c r="Z20" s="18" t="s">
        <v>106</v>
      </c>
      <c r="AA20" s="18" t="s">
        <v>105</v>
      </c>
      <c r="AB20" s="18" t="s">
        <v>34</v>
      </c>
      <c r="AC20" s="22" t="s">
        <v>456</v>
      </c>
      <c r="AD20" s="23"/>
      <c r="AE20" s="24">
        <v>48223</v>
      </c>
      <c r="AF20" s="32">
        <v>37770</v>
      </c>
      <c r="AH20" s="26">
        <v>28</v>
      </c>
      <c r="AI20" s="18" t="s">
        <v>347</v>
      </c>
      <c r="AL20" s="20">
        <v>45860</v>
      </c>
      <c r="AM20" s="20">
        <v>45859</v>
      </c>
      <c r="AN20" s="18" t="s">
        <v>357</v>
      </c>
      <c r="AO20" s="23" t="s">
        <v>347</v>
      </c>
      <c r="AP20" s="23" t="s">
        <v>348</v>
      </c>
      <c r="AQ20" s="27">
        <v>45860</v>
      </c>
      <c r="AR20" s="27">
        <v>45859</v>
      </c>
      <c r="AS20" s="23" t="s">
        <v>357</v>
      </c>
      <c r="AT20" s="23" t="s">
        <v>457</v>
      </c>
      <c r="AU20" s="23" t="s">
        <v>364</v>
      </c>
      <c r="AV20" s="23" t="s">
        <v>350</v>
      </c>
      <c r="AW20" s="28">
        <v>45952</v>
      </c>
      <c r="AX20" s="29">
        <v>0</v>
      </c>
      <c r="BL20" s="13" t="s">
        <v>266</v>
      </c>
      <c r="BM20" s="13" t="s">
        <v>266</v>
      </c>
      <c r="BN20" s="13" t="s">
        <v>266</v>
      </c>
      <c r="BO20" s="13" t="s">
        <v>266</v>
      </c>
      <c r="BP20" s="13" t="s">
        <v>266</v>
      </c>
      <c r="BQ20" s="13" t="s">
        <v>266</v>
      </c>
      <c r="BR20" s="13" t="s">
        <v>266</v>
      </c>
      <c r="BS20" s="13" t="s">
        <v>266</v>
      </c>
      <c r="BT20" s="13" t="s">
        <v>266</v>
      </c>
      <c r="BU20" s="13" t="s">
        <v>266</v>
      </c>
      <c r="BV20" s="13" t="s">
        <v>266</v>
      </c>
      <c r="BW20" s="13" t="s">
        <v>266</v>
      </c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1"/>
    </row>
    <row r="21" s="2" customFormat="1" customHeight="1" spans="1:86">
      <c r="A21" s="17" t="s">
        <v>458</v>
      </c>
      <c r="B21" s="34" t="s">
        <v>109</v>
      </c>
      <c r="C21" s="33" t="s">
        <v>95</v>
      </c>
      <c r="D21" s="136" t="s">
        <v>338</v>
      </c>
      <c r="E21" s="18" t="s">
        <v>22</v>
      </c>
      <c r="F21" s="18" t="s">
        <v>110</v>
      </c>
      <c r="G21" s="18" t="s">
        <v>22</v>
      </c>
      <c r="H21" s="18" t="s">
        <v>22</v>
      </c>
      <c r="I21" s="18" t="s">
        <v>339</v>
      </c>
      <c r="J21" s="20">
        <v>45846</v>
      </c>
      <c r="K21" s="21"/>
      <c r="L21" s="18"/>
      <c r="M21" s="17" t="s">
        <v>459</v>
      </c>
      <c r="O21" s="18" t="s">
        <v>341</v>
      </c>
      <c r="R21" s="18" t="s">
        <v>460</v>
      </c>
      <c r="S21" s="18" t="s">
        <v>37</v>
      </c>
      <c r="T21" s="17" t="s">
        <v>461</v>
      </c>
      <c r="V21" s="18" t="s">
        <v>462</v>
      </c>
      <c r="W21" s="18" t="s">
        <v>355</v>
      </c>
      <c r="X21" s="17" t="s">
        <v>463</v>
      </c>
      <c r="Y21" s="18" t="s">
        <v>113</v>
      </c>
      <c r="Z21" s="18" t="s">
        <v>112</v>
      </c>
      <c r="AA21" s="18" t="s">
        <v>111</v>
      </c>
      <c r="AB21" s="22" t="s">
        <v>114</v>
      </c>
      <c r="AC21" s="22" t="s">
        <v>456</v>
      </c>
      <c r="AD21" s="13"/>
      <c r="AE21" s="24">
        <v>48721</v>
      </c>
      <c r="AF21" s="32">
        <v>33965</v>
      </c>
      <c r="AH21" s="26">
        <v>22</v>
      </c>
      <c r="AI21" s="18" t="s">
        <v>347</v>
      </c>
      <c r="AL21" s="20">
        <v>45846</v>
      </c>
      <c r="AM21" s="20">
        <v>45845</v>
      </c>
      <c r="AN21" s="18" t="s">
        <v>357</v>
      </c>
      <c r="AO21" s="23" t="s">
        <v>347</v>
      </c>
      <c r="AP21" s="23" t="s">
        <v>348</v>
      </c>
      <c r="AQ21" s="27">
        <v>45846</v>
      </c>
      <c r="AR21" s="27">
        <v>45845</v>
      </c>
      <c r="AS21" s="23" t="s">
        <v>357</v>
      </c>
      <c r="AT21" s="23" t="s">
        <v>31</v>
      </c>
      <c r="AU21" s="23" t="s">
        <v>364</v>
      </c>
      <c r="AV21" s="23" t="s">
        <v>350</v>
      </c>
      <c r="AW21" s="28">
        <v>45938</v>
      </c>
      <c r="AX21" s="29">
        <v>0</v>
      </c>
      <c r="BL21" s="13" t="s">
        <v>266</v>
      </c>
      <c r="BM21" s="13" t="s">
        <v>266</v>
      </c>
      <c r="BN21" s="13" t="s">
        <v>266</v>
      </c>
      <c r="BO21" s="13" t="s">
        <v>266</v>
      </c>
      <c r="BP21" s="13" t="s">
        <v>266</v>
      </c>
      <c r="BQ21" s="13" t="s">
        <v>266</v>
      </c>
      <c r="BR21" s="13" t="s">
        <v>266</v>
      </c>
      <c r="BS21" s="13" t="s">
        <v>266</v>
      </c>
      <c r="BT21" s="13" t="s">
        <v>266</v>
      </c>
      <c r="BU21" s="13" t="s">
        <v>266</v>
      </c>
      <c r="BV21" s="13" t="s">
        <v>266</v>
      </c>
      <c r="BW21" s="13" t="s">
        <v>266</v>
      </c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1"/>
    </row>
    <row r="22" s="2" customFormat="1" customHeight="1" spans="1:86">
      <c r="A22" s="17" t="s">
        <v>464</v>
      </c>
      <c r="B22" s="18" t="s">
        <v>115</v>
      </c>
      <c r="C22" s="33" t="s">
        <v>95</v>
      </c>
      <c r="D22" s="136" t="s">
        <v>338</v>
      </c>
      <c r="E22" s="18" t="s">
        <v>22</v>
      </c>
      <c r="F22" s="18" t="s">
        <v>116</v>
      </c>
      <c r="G22" s="18" t="s">
        <v>22</v>
      </c>
      <c r="H22" s="18" t="s">
        <v>22</v>
      </c>
      <c r="I22" s="18" t="s">
        <v>339</v>
      </c>
      <c r="J22" s="20">
        <v>45979</v>
      </c>
      <c r="K22" s="21"/>
      <c r="L22" s="18"/>
      <c r="M22" s="17"/>
      <c r="O22" s="18" t="s">
        <v>341</v>
      </c>
      <c r="R22" s="18" t="s">
        <v>465</v>
      </c>
      <c r="S22" s="18" t="s">
        <v>37</v>
      </c>
      <c r="T22" s="17" t="s">
        <v>466</v>
      </c>
      <c r="V22" s="18" t="s">
        <v>467</v>
      </c>
      <c r="W22" s="18" t="s">
        <v>355</v>
      </c>
      <c r="X22" s="17" t="s">
        <v>466</v>
      </c>
      <c r="Y22" s="18" t="s">
        <v>113</v>
      </c>
      <c r="Z22" s="18" t="s">
        <v>118</v>
      </c>
      <c r="AA22" s="18" t="s">
        <v>117</v>
      </c>
      <c r="AB22" s="22" t="s">
        <v>114</v>
      </c>
      <c r="AC22" s="22" t="s">
        <v>456</v>
      </c>
      <c r="AD22" s="23"/>
      <c r="AE22" s="24">
        <v>48389</v>
      </c>
      <c r="AF22" s="32">
        <v>32845</v>
      </c>
      <c r="AH22" s="26">
        <v>24</v>
      </c>
      <c r="AI22" s="18" t="s">
        <v>347</v>
      </c>
      <c r="AL22" s="20">
        <v>45979</v>
      </c>
      <c r="AM22" s="20">
        <v>45978</v>
      </c>
      <c r="AN22" s="18" t="s">
        <v>357</v>
      </c>
      <c r="AO22" s="23" t="s">
        <v>347</v>
      </c>
      <c r="AP22" s="23" t="s">
        <v>348</v>
      </c>
      <c r="AQ22" s="27">
        <v>45979</v>
      </c>
      <c r="AR22" s="27">
        <v>45978</v>
      </c>
      <c r="AS22" s="23" t="s">
        <v>357</v>
      </c>
      <c r="AT22" s="23" t="s">
        <v>31</v>
      </c>
      <c r="AU22" s="23" t="s">
        <v>364</v>
      </c>
      <c r="AV22" s="23" t="s">
        <v>350</v>
      </c>
      <c r="AW22" s="28">
        <v>46071</v>
      </c>
      <c r="AX22" s="29">
        <v>0</v>
      </c>
      <c r="BL22" s="13" t="s">
        <v>266</v>
      </c>
      <c r="BM22" s="13" t="s">
        <v>266</v>
      </c>
      <c r="BN22" s="13" t="s">
        <v>266</v>
      </c>
      <c r="BO22" s="13" t="s">
        <v>266</v>
      </c>
      <c r="BP22" s="13" t="s">
        <v>266</v>
      </c>
      <c r="BQ22" s="13" t="s">
        <v>266</v>
      </c>
      <c r="BR22" s="13" t="s">
        <v>266</v>
      </c>
      <c r="BS22" s="13" t="s">
        <v>266</v>
      </c>
      <c r="BT22" s="13" t="s">
        <v>266</v>
      </c>
      <c r="BU22" s="13" t="s">
        <v>266</v>
      </c>
      <c r="BV22" s="13" t="s">
        <v>266</v>
      </c>
      <c r="BW22" s="13" t="s">
        <v>266</v>
      </c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1"/>
    </row>
    <row r="23" s="2" customFormat="1" customHeight="1" spans="1:86">
      <c r="A23" s="17" t="s">
        <v>468</v>
      </c>
      <c r="B23" s="18" t="s">
        <v>119</v>
      </c>
      <c r="C23" s="33" t="s">
        <v>95</v>
      </c>
      <c r="D23" s="136" t="s">
        <v>338</v>
      </c>
      <c r="E23" s="18" t="s">
        <v>22</v>
      </c>
      <c r="F23" s="18" t="s">
        <v>120</v>
      </c>
      <c r="G23" s="18" t="s">
        <v>22</v>
      </c>
      <c r="H23" s="18" t="s">
        <v>22</v>
      </c>
      <c r="I23" s="18" t="s">
        <v>339</v>
      </c>
      <c r="J23" s="20">
        <v>45248</v>
      </c>
      <c r="K23" s="21"/>
      <c r="L23" s="18"/>
      <c r="M23" s="17"/>
      <c r="O23" s="18" t="s">
        <v>341</v>
      </c>
      <c r="R23" s="18" t="s">
        <v>469</v>
      </c>
      <c r="S23" s="18" t="s">
        <v>27</v>
      </c>
      <c r="T23" s="17" t="s">
        <v>470</v>
      </c>
      <c r="V23" s="18" t="s">
        <v>471</v>
      </c>
      <c r="W23" s="18" t="s">
        <v>355</v>
      </c>
      <c r="X23" s="17" t="s">
        <v>472</v>
      </c>
      <c r="Y23" s="18" t="s">
        <v>34</v>
      </c>
      <c r="Z23" s="18" t="s">
        <v>123</v>
      </c>
      <c r="AA23" s="18" t="s">
        <v>122</v>
      </c>
      <c r="AB23" s="18" t="s">
        <v>34</v>
      </c>
      <c r="AC23" s="22" t="s">
        <v>456</v>
      </c>
      <c r="AD23" s="23"/>
      <c r="AE23" s="24">
        <v>52467</v>
      </c>
      <c r="AF23" s="32">
        <v>34898</v>
      </c>
      <c r="AH23" s="26">
        <v>28</v>
      </c>
      <c r="AI23" s="18" t="s">
        <v>347</v>
      </c>
      <c r="AL23" s="20">
        <v>45248</v>
      </c>
      <c r="AM23" s="20">
        <v>45247</v>
      </c>
      <c r="AN23" s="18" t="s">
        <v>357</v>
      </c>
      <c r="AO23" s="23" t="s">
        <v>347</v>
      </c>
      <c r="AP23" s="23" t="s">
        <v>348</v>
      </c>
      <c r="AQ23" s="27">
        <v>45248</v>
      </c>
      <c r="AR23" s="27">
        <v>45247</v>
      </c>
      <c r="AS23" s="23" t="s">
        <v>357</v>
      </c>
      <c r="AT23" s="23" t="s">
        <v>407</v>
      </c>
      <c r="AU23" s="23" t="s">
        <v>473</v>
      </c>
      <c r="AV23" s="23" t="s">
        <v>350</v>
      </c>
      <c r="AW23" s="28">
        <v>45340</v>
      </c>
      <c r="AX23" s="29">
        <v>2</v>
      </c>
      <c r="BL23" s="13" t="s">
        <v>266</v>
      </c>
      <c r="BM23" s="13" t="s">
        <v>266</v>
      </c>
      <c r="BN23" s="13" t="s">
        <v>266</v>
      </c>
      <c r="BO23" s="13" t="s">
        <v>266</v>
      </c>
      <c r="BP23" s="13" t="s">
        <v>266</v>
      </c>
      <c r="BQ23" s="13" t="s">
        <v>266</v>
      </c>
      <c r="BR23" s="13" t="s">
        <v>266</v>
      </c>
      <c r="BS23" s="13" t="s">
        <v>266</v>
      </c>
      <c r="BT23" s="13" t="s">
        <v>266</v>
      </c>
      <c r="BU23" s="13" t="s">
        <v>266</v>
      </c>
      <c r="BV23" s="13" t="s">
        <v>266</v>
      </c>
      <c r="BW23" s="13" t="s">
        <v>266</v>
      </c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1"/>
    </row>
    <row r="24" s="2" customFormat="1" customHeight="1" spans="1:86">
      <c r="A24" s="17" t="s">
        <v>474</v>
      </c>
      <c r="B24" s="18" t="s">
        <v>124</v>
      </c>
      <c r="C24" s="33" t="s">
        <v>125</v>
      </c>
      <c r="D24" s="136" t="s">
        <v>338</v>
      </c>
      <c r="E24" s="18" t="s">
        <v>22</v>
      </c>
      <c r="F24" s="18" t="s">
        <v>475</v>
      </c>
      <c r="G24" s="18" t="s">
        <v>22</v>
      </c>
      <c r="H24" s="18" t="s">
        <v>22</v>
      </c>
      <c r="I24" s="18" t="s">
        <v>339</v>
      </c>
      <c r="J24" s="20">
        <v>44912</v>
      </c>
      <c r="K24" s="21"/>
      <c r="L24" s="18"/>
      <c r="M24" s="17" t="s">
        <v>476</v>
      </c>
      <c r="O24" s="18" t="s">
        <v>341</v>
      </c>
      <c r="R24" s="18" t="s">
        <v>477</v>
      </c>
      <c r="S24" s="18" t="s">
        <v>37</v>
      </c>
      <c r="T24" s="17" t="s">
        <v>478</v>
      </c>
      <c r="V24" s="18" t="s">
        <v>479</v>
      </c>
      <c r="W24" s="18" t="s">
        <v>345</v>
      </c>
      <c r="X24" s="17" t="s">
        <v>478</v>
      </c>
      <c r="Y24" s="18" t="s">
        <v>128</v>
      </c>
      <c r="Z24" s="18" t="s">
        <v>25</v>
      </c>
      <c r="AA24" s="18" t="s">
        <v>127</v>
      </c>
      <c r="AB24" s="18" t="s">
        <v>128</v>
      </c>
      <c r="AC24" s="22" t="s">
        <v>348</v>
      </c>
      <c r="AD24" s="23"/>
      <c r="AE24" s="24">
        <v>46348</v>
      </c>
      <c r="AF24" s="32">
        <v>26649</v>
      </c>
      <c r="AH24" s="26">
        <v>46</v>
      </c>
      <c r="AI24" s="18" t="s">
        <v>347</v>
      </c>
      <c r="AL24" s="20">
        <v>44912</v>
      </c>
      <c r="AM24" s="20">
        <v>44911</v>
      </c>
      <c r="AN24" s="18" t="s">
        <v>357</v>
      </c>
      <c r="AO24" s="23" t="s">
        <v>347</v>
      </c>
      <c r="AP24" s="23" t="s">
        <v>348</v>
      </c>
      <c r="AQ24" s="27">
        <v>44912</v>
      </c>
      <c r="AR24" s="27">
        <v>44911</v>
      </c>
      <c r="AS24" s="23" t="s">
        <v>357</v>
      </c>
      <c r="AT24" s="23" t="s">
        <v>31</v>
      </c>
      <c r="AU24" s="23" t="s">
        <v>358</v>
      </c>
      <c r="AV24" s="23" t="s">
        <v>350</v>
      </c>
      <c r="AW24" s="28">
        <v>45002</v>
      </c>
      <c r="AX24" s="29">
        <v>3</v>
      </c>
      <c r="BL24" s="13" t="s">
        <v>266</v>
      </c>
      <c r="BM24" s="13" t="s">
        <v>266</v>
      </c>
      <c r="BN24" s="13" t="s">
        <v>266</v>
      </c>
      <c r="BO24" s="13" t="s">
        <v>266</v>
      </c>
      <c r="BP24" s="13" t="s">
        <v>266</v>
      </c>
      <c r="BQ24" s="13" t="s">
        <v>266</v>
      </c>
      <c r="BR24" s="13" t="s">
        <v>267</v>
      </c>
      <c r="BS24" s="13"/>
      <c r="BT24" s="13"/>
      <c r="BU24" s="13"/>
      <c r="BV24" s="13"/>
      <c r="BW24" s="13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1"/>
    </row>
    <row r="25" s="2" customFormat="1" customHeight="1" spans="1:86">
      <c r="A25" s="17" t="s">
        <v>480</v>
      </c>
      <c r="B25" s="18" t="s">
        <v>129</v>
      </c>
      <c r="C25" s="33" t="s">
        <v>125</v>
      </c>
      <c r="D25" s="136" t="s">
        <v>338</v>
      </c>
      <c r="E25" s="18" t="s">
        <v>22</v>
      </c>
      <c r="F25" s="18" t="s">
        <v>481</v>
      </c>
      <c r="G25" s="18" t="s">
        <v>22</v>
      </c>
      <c r="H25" s="18" t="s">
        <v>482</v>
      </c>
      <c r="I25" s="18" t="s">
        <v>339</v>
      </c>
      <c r="J25" s="20">
        <v>45429</v>
      </c>
      <c r="K25" s="21"/>
      <c r="L25" s="18"/>
      <c r="M25" s="17" t="s">
        <v>483</v>
      </c>
      <c r="O25" s="18" t="s">
        <v>341</v>
      </c>
      <c r="R25" s="18" t="s">
        <v>484</v>
      </c>
      <c r="S25" s="18" t="s">
        <v>27</v>
      </c>
      <c r="T25" s="17" t="s">
        <v>485</v>
      </c>
      <c r="V25" s="18" t="s">
        <v>486</v>
      </c>
      <c r="W25" s="18" t="s">
        <v>345</v>
      </c>
      <c r="X25" s="17" t="s">
        <v>487</v>
      </c>
      <c r="Y25" s="18" t="s">
        <v>128</v>
      </c>
      <c r="Z25" s="18" t="s">
        <v>25</v>
      </c>
      <c r="AA25" s="18" t="s">
        <v>131</v>
      </c>
      <c r="AB25" s="18" t="s">
        <v>128</v>
      </c>
      <c r="AC25" s="22" t="s">
        <v>456</v>
      </c>
      <c r="AD25" s="23"/>
      <c r="AE25" s="24">
        <v>51807</v>
      </c>
      <c r="AF25" s="32">
        <v>30873</v>
      </c>
      <c r="AH25" s="26">
        <v>35</v>
      </c>
      <c r="AI25" s="18" t="s">
        <v>347</v>
      </c>
      <c r="AL25" s="20">
        <v>45428</v>
      </c>
      <c r="AM25" s="20">
        <v>45427</v>
      </c>
      <c r="AN25" s="18" t="s">
        <v>357</v>
      </c>
      <c r="AO25" s="23" t="s">
        <v>347</v>
      </c>
      <c r="AP25" s="23" t="s">
        <v>348</v>
      </c>
      <c r="AQ25" s="27">
        <v>45428</v>
      </c>
      <c r="AR25" s="27">
        <v>45427</v>
      </c>
      <c r="AS25" s="23" t="s">
        <v>357</v>
      </c>
      <c r="AT25" s="23" t="s">
        <v>488</v>
      </c>
      <c r="AU25" s="23" t="s">
        <v>389</v>
      </c>
      <c r="AV25" s="23" t="s">
        <v>350</v>
      </c>
      <c r="AW25" s="28">
        <v>45520</v>
      </c>
      <c r="AX25" s="29">
        <v>1</v>
      </c>
      <c r="BL25" s="13" t="s">
        <v>266</v>
      </c>
      <c r="BM25" s="13" t="s">
        <v>266</v>
      </c>
      <c r="BN25" s="13" t="s">
        <v>266</v>
      </c>
      <c r="BO25" s="13" t="s">
        <v>266</v>
      </c>
      <c r="BP25" s="13" t="s">
        <v>266</v>
      </c>
      <c r="BQ25" s="13" t="s">
        <v>266</v>
      </c>
      <c r="BR25" s="13" t="s">
        <v>268</v>
      </c>
      <c r="BS25" s="13"/>
      <c r="BT25" s="13"/>
      <c r="BU25" s="13"/>
      <c r="BV25" s="13"/>
      <c r="BW25" s="13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1"/>
    </row>
    <row r="26" s="2" customFormat="1" customHeight="1" spans="1:86">
      <c r="A26" s="17" t="s">
        <v>489</v>
      </c>
      <c r="B26" s="18" t="s">
        <v>132</v>
      </c>
      <c r="C26" s="33" t="s">
        <v>125</v>
      </c>
      <c r="D26" s="136" t="s">
        <v>338</v>
      </c>
      <c r="E26" s="18" t="s">
        <v>22</v>
      </c>
      <c r="F26" s="18" t="s">
        <v>475</v>
      </c>
      <c r="G26" s="18" t="s">
        <v>22</v>
      </c>
      <c r="H26" s="18" t="s">
        <v>22</v>
      </c>
      <c r="I26" s="18" t="s">
        <v>339</v>
      </c>
      <c r="J26" s="20">
        <v>45659</v>
      </c>
      <c r="K26" s="21"/>
      <c r="L26" s="18"/>
      <c r="M26" s="17"/>
      <c r="O26" s="18" t="s">
        <v>341</v>
      </c>
      <c r="R26" s="18" t="s">
        <v>490</v>
      </c>
      <c r="S26" s="18" t="s">
        <v>37</v>
      </c>
      <c r="T26" s="17" t="s">
        <v>491</v>
      </c>
      <c r="V26" s="18" t="s">
        <v>492</v>
      </c>
      <c r="W26" s="18" t="s">
        <v>345</v>
      </c>
      <c r="X26" s="17" t="s">
        <v>493</v>
      </c>
      <c r="Y26" s="18" t="s">
        <v>128</v>
      </c>
      <c r="Z26" s="18" t="s">
        <v>25</v>
      </c>
      <c r="AA26" s="18" t="s">
        <v>134</v>
      </c>
      <c r="AB26" s="18" t="s">
        <v>128</v>
      </c>
      <c r="AC26" s="22" t="s">
        <v>348</v>
      </c>
      <c r="AD26" s="23"/>
      <c r="AE26" s="24">
        <v>51704</v>
      </c>
      <c r="AF26" s="32">
        <v>30462</v>
      </c>
      <c r="AH26" s="26">
        <v>44</v>
      </c>
      <c r="AI26" s="18" t="s">
        <v>347</v>
      </c>
      <c r="AL26" s="20">
        <v>45659</v>
      </c>
      <c r="AM26" s="20">
        <v>45658</v>
      </c>
      <c r="AN26" s="18" t="s">
        <v>357</v>
      </c>
      <c r="AO26" s="23" t="s">
        <v>347</v>
      </c>
      <c r="AP26" s="23" t="s">
        <v>348</v>
      </c>
      <c r="AQ26" s="27">
        <v>45659</v>
      </c>
      <c r="AR26" s="27">
        <v>45658</v>
      </c>
      <c r="AS26" s="23" t="s">
        <v>357</v>
      </c>
      <c r="AT26" s="23" t="s">
        <v>494</v>
      </c>
      <c r="AU26" s="23" t="s">
        <v>364</v>
      </c>
      <c r="AV26" s="23" t="s">
        <v>350</v>
      </c>
      <c r="AW26" s="28">
        <v>45749</v>
      </c>
      <c r="AX26" s="29">
        <v>1</v>
      </c>
      <c r="BL26" s="13" t="s">
        <v>266</v>
      </c>
      <c r="BM26" s="13" t="s">
        <v>266</v>
      </c>
      <c r="BN26" s="13" t="s">
        <v>266</v>
      </c>
      <c r="BO26" s="13" t="s">
        <v>266</v>
      </c>
      <c r="BP26" s="13" t="s">
        <v>266</v>
      </c>
      <c r="BQ26" s="13" t="s">
        <v>266</v>
      </c>
      <c r="BR26" s="13" t="s">
        <v>267</v>
      </c>
      <c r="BS26" s="13"/>
      <c r="BT26" s="13"/>
      <c r="BU26" s="13"/>
      <c r="BV26" s="13"/>
      <c r="BW26" s="13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1"/>
    </row>
    <row r="27" s="2" customFormat="1" customHeight="1" spans="1:86">
      <c r="A27" s="17" t="s">
        <v>495</v>
      </c>
      <c r="B27" s="18" t="s">
        <v>496</v>
      </c>
      <c r="C27" s="33" t="s">
        <v>125</v>
      </c>
      <c r="D27" s="136" t="s">
        <v>338</v>
      </c>
      <c r="E27" s="18" t="s">
        <v>22</v>
      </c>
      <c r="F27" s="18" t="s">
        <v>475</v>
      </c>
      <c r="G27" s="18" t="s">
        <v>22</v>
      </c>
      <c r="H27" s="18" t="s">
        <v>22</v>
      </c>
      <c r="I27" s="18" t="s">
        <v>339</v>
      </c>
      <c r="J27" s="20">
        <v>45743</v>
      </c>
      <c r="K27" s="21"/>
      <c r="L27" s="18"/>
      <c r="M27" s="17" t="s">
        <v>476</v>
      </c>
      <c r="O27" s="18" t="s">
        <v>341</v>
      </c>
      <c r="R27" s="18" t="s">
        <v>497</v>
      </c>
      <c r="S27" s="18" t="s">
        <v>37</v>
      </c>
      <c r="T27" s="17" t="s">
        <v>498</v>
      </c>
      <c r="V27" s="18" t="s">
        <v>499</v>
      </c>
      <c r="W27" s="18" t="s">
        <v>345</v>
      </c>
      <c r="X27" s="17" t="s">
        <v>500</v>
      </c>
      <c r="Y27" s="18" t="s">
        <v>26</v>
      </c>
      <c r="Z27" s="18" t="s">
        <v>25</v>
      </c>
      <c r="AA27" s="18" t="s">
        <v>501</v>
      </c>
      <c r="AB27" s="18" t="s">
        <v>26</v>
      </c>
      <c r="AC27" s="22" t="s">
        <v>348</v>
      </c>
      <c r="AD27" s="23"/>
      <c r="AE27" s="24">
        <v>49822</v>
      </c>
      <c r="AF27" s="32">
        <v>36960</v>
      </c>
      <c r="AH27" s="26">
        <v>43</v>
      </c>
      <c r="AI27" s="18" t="s">
        <v>347</v>
      </c>
      <c r="AL27" s="20">
        <v>45743</v>
      </c>
      <c r="AM27" s="20">
        <v>45742</v>
      </c>
      <c r="AN27" s="18" t="s">
        <v>357</v>
      </c>
      <c r="AO27" s="23" t="s">
        <v>347</v>
      </c>
      <c r="AP27" s="23" t="s">
        <v>348</v>
      </c>
      <c r="AQ27" s="27">
        <v>45743</v>
      </c>
      <c r="AR27" s="27">
        <v>45742</v>
      </c>
      <c r="AS27" s="23" t="s">
        <v>357</v>
      </c>
      <c r="AT27" s="23" t="s">
        <v>31</v>
      </c>
      <c r="AU27" s="23" t="s">
        <v>364</v>
      </c>
      <c r="AV27" s="23" t="s">
        <v>350</v>
      </c>
      <c r="AW27" s="28">
        <v>45835</v>
      </c>
      <c r="AX27" s="29">
        <v>0</v>
      </c>
      <c r="BL27" s="13" t="s">
        <v>266</v>
      </c>
      <c r="BM27" s="13" t="s">
        <v>266</v>
      </c>
      <c r="BN27" s="13" t="s">
        <v>266</v>
      </c>
      <c r="BO27" s="13" t="s">
        <v>267</v>
      </c>
      <c r="BP27" s="13"/>
      <c r="BQ27" s="13"/>
      <c r="BR27" s="13"/>
      <c r="BS27" s="13"/>
      <c r="BT27" s="13"/>
      <c r="BU27" s="13"/>
      <c r="BV27" s="13"/>
      <c r="BW27" s="13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1"/>
    </row>
    <row r="28" s="2" customFormat="1" customHeight="1" spans="1:86">
      <c r="A28" s="17" t="s">
        <v>502</v>
      </c>
      <c r="B28" s="18" t="s">
        <v>135</v>
      </c>
      <c r="C28" s="33" t="s">
        <v>125</v>
      </c>
      <c r="D28" s="136" t="s">
        <v>338</v>
      </c>
      <c r="E28" s="18" t="s">
        <v>22</v>
      </c>
      <c r="F28" s="18" t="s">
        <v>475</v>
      </c>
      <c r="G28" s="18" t="s">
        <v>22</v>
      </c>
      <c r="H28" s="18" t="s">
        <v>22</v>
      </c>
      <c r="I28" s="18" t="s">
        <v>339</v>
      </c>
      <c r="J28" s="20">
        <v>45848</v>
      </c>
      <c r="K28" s="21"/>
      <c r="L28" s="18"/>
      <c r="M28" s="17"/>
      <c r="O28" s="18" t="s">
        <v>341</v>
      </c>
      <c r="R28" s="18" t="s">
        <v>503</v>
      </c>
      <c r="S28" s="18" t="s">
        <v>37</v>
      </c>
      <c r="T28" s="17" t="s">
        <v>504</v>
      </c>
      <c r="V28" s="18" t="s">
        <v>505</v>
      </c>
      <c r="W28" s="18" t="s">
        <v>355</v>
      </c>
      <c r="X28" s="17"/>
      <c r="Y28" s="18" t="s">
        <v>128</v>
      </c>
      <c r="Z28" s="18" t="s">
        <v>25</v>
      </c>
      <c r="AA28" s="18" t="s">
        <v>127</v>
      </c>
      <c r="AB28" s="18" t="s">
        <v>128</v>
      </c>
      <c r="AC28" s="22" t="s">
        <v>348</v>
      </c>
      <c r="AD28" s="23"/>
      <c r="AE28" s="24">
        <v>49827</v>
      </c>
      <c r="AF28" s="32">
        <v>31014</v>
      </c>
      <c r="AH28" s="26">
        <v>38</v>
      </c>
      <c r="AI28" s="18" t="s">
        <v>347</v>
      </c>
      <c r="AL28" s="20">
        <v>45848</v>
      </c>
      <c r="AM28" s="20">
        <v>45847</v>
      </c>
      <c r="AN28" s="18" t="s">
        <v>357</v>
      </c>
      <c r="AO28" s="23" t="s">
        <v>347</v>
      </c>
      <c r="AP28" s="23" t="s">
        <v>348</v>
      </c>
      <c r="AQ28" s="27">
        <v>45848</v>
      </c>
      <c r="AR28" s="27">
        <v>45847</v>
      </c>
      <c r="AS28" s="23" t="s">
        <v>357</v>
      </c>
      <c r="AT28" s="23" t="s">
        <v>31</v>
      </c>
      <c r="AU28" s="23" t="s">
        <v>364</v>
      </c>
      <c r="AV28" s="23" t="s">
        <v>350</v>
      </c>
      <c r="AW28" s="28">
        <v>45940</v>
      </c>
      <c r="AX28" s="29">
        <v>0</v>
      </c>
      <c r="BL28" s="13" t="s">
        <v>266</v>
      </c>
      <c r="BM28" s="13" t="s">
        <v>266</v>
      </c>
      <c r="BN28" s="13" t="s">
        <v>266</v>
      </c>
      <c r="BO28" s="13" t="s">
        <v>266</v>
      </c>
      <c r="BP28" s="13" t="s">
        <v>266</v>
      </c>
      <c r="BQ28" s="13" t="s">
        <v>266</v>
      </c>
      <c r="BR28" s="13" t="s">
        <v>267</v>
      </c>
      <c r="BS28" s="13"/>
      <c r="BT28" s="13"/>
      <c r="BU28" s="13"/>
      <c r="BV28" s="13"/>
      <c r="BW28" s="13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1"/>
    </row>
    <row r="29" s="2" customFormat="1" customHeight="1" spans="1:86">
      <c r="A29" s="17" t="s">
        <v>506</v>
      </c>
      <c r="B29" s="18" t="s">
        <v>136</v>
      </c>
      <c r="C29" s="33" t="s">
        <v>125</v>
      </c>
      <c r="D29" s="136" t="s">
        <v>338</v>
      </c>
      <c r="E29" s="18" t="s">
        <v>22</v>
      </c>
      <c r="F29" s="18" t="s">
        <v>475</v>
      </c>
      <c r="G29" s="18" t="s">
        <v>22</v>
      </c>
      <c r="H29" s="18" t="s">
        <v>22</v>
      </c>
      <c r="I29" s="18" t="s">
        <v>339</v>
      </c>
      <c r="J29" s="20">
        <v>45868</v>
      </c>
      <c r="K29" s="21"/>
      <c r="L29" s="18"/>
      <c r="M29" s="17"/>
      <c r="O29" s="18" t="s">
        <v>341</v>
      </c>
      <c r="R29" s="18" t="s">
        <v>507</v>
      </c>
      <c r="S29" s="18" t="s">
        <v>37</v>
      </c>
      <c r="T29" s="17" t="s">
        <v>508</v>
      </c>
      <c r="V29" s="18" t="s">
        <v>509</v>
      </c>
      <c r="W29" s="18" t="s">
        <v>345</v>
      </c>
      <c r="X29" s="17" t="s">
        <v>508</v>
      </c>
      <c r="Y29" s="18" t="s">
        <v>128</v>
      </c>
      <c r="Z29" s="18" t="s">
        <v>25</v>
      </c>
      <c r="AA29" s="18" t="s">
        <v>137</v>
      </c>
      <c r="AB29" s="18" t="s">
        <v>128</v>
      </c>
      <c r="AC29" s="22" t="s">
        <v>348</v>
      </c>
      <c r="AD29" s="23"/>
      <c r="AE29" s="24">
        <v>52444</v>
      </c>
      <c r="AF29" s="32">
        <v>36772</v>
      </c>
      <c r="AH29" s="26">
        <v>41</v>
      </c>
      <c r="AI29" s="18" t="s">
        <v>347</v>
      </c>
      <c r="AL29" s="20">
        <v>45868</v>
      </c>
      <c r="AM29" s="20">
        <v>45867</v>
      </c>
      <c r="AN29" s="18" t="s">
        <v>357</v>
      </c>
      <c r="AO29" s="23" t="s">
        <v>347</v>
      </c>
      <c r="AP29" s="23" t="s">
        <v>348</v>
      </c>
      <c r="AQ29" s="27">
        <v>45868</v>
      </c>
      <c r="AR29" s="27">
        <v>45867</v>
      </c>
      <c r="AS29" s="23" t="s">
        <v>357</v>
      </c>
      <c r="AT29" s="23" t="s">
        <v>510</v>
      </c>
      <c r="AU29" s="23" t="s">
        <v>364</v>
      </c>
      <c r="AV29" s="23" t="s">
        <v>350</v>
      </c>
      <c r="AW29" s="28">
        <v>45960</v>
      </c>
      <c r="AX29" s="29">
        <v>0</v>
      </c>
      <c r="BL29" s="13" t="s">
        <v>266</v>
      </c>
      <c r="BM29" s="13" t="s">
        <v>266</v>
      </c>
      <c r="BN29" s="13" t="s">
        <v>266</v>
      </c>
      <c r="BO29" s="13" t="s">
        <v>266</v>
      </c>
      <c r="BP29" s="13" t="s">
        <v>266</v>
      </c>
      <c r="BQ29" s="13" t="s">
        <v>266</v>
      </c>
      <c r="BR29" s="13" t="s">
        <v>267</v>
      </c>
      <c r="BS29" s="13"/>
      <c r="BT29" s="13"/>
      <c r="BU29" s="13"/>
      <c r="BV29" s="13"/>
      <c r="BW29" s="13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1"/>
    </row>
    <row r="30" s="2" customFormat="1" customHeight="1" spans="1:86">
      <c r="A30" s="17" t="s">
        <v>511</v>
      </c>
      <c r="B30" s="18" t="s">
        <v>138</v>
      </c>
      <c r="C30" s="33" t="s">
        <v>125</v>
      </c>
      <c r="D30" s="136" t="s">
        <v>338</v>
      </c>
      <c r="E30" s="18" t="s">
        <v>22</v>
      </c>
      <c r="F30" s="18" t="s">
        <v>475</v>
      </c>
      <c r="G30" s="18" t="s">
        <v>22</v>
      </c>
      <c r="H30" s="18" t="s">
        <v>22</v>
      </c>
      <c r="I30" s="18" t="s">
        <v>339</v>
      </c>
      <c r="J30" s="20">
        <v>46013</v>
      </c>
      <c r="K30" s="21"/>
      <c r="L30" s="18"/>
      <c r="M30" s="17"/>
      <c r="O30" s="18" t="s">
        <v>341</v>
      </c>
      <c r="R30" s="18" t="s">
        <v>512</v>
      </c>
      <c r="S30" s="18" t="s">
        <v>37</v>
      </c>
      <c r="T30" s="17" t="s">
        <v>513</v>
      </c>
      <c r="V30" s="18" t="s">
        <v>514</v>
      </c>
      <c r="W30" s="18" t="s">
        <v>345</v>
      </c>
      <c r="X30" s="17" t="s">
        <v>513</v>
      </c>
      <c r="Y30" s="18" t="s">
        <v>128</v>
      </c>
      <c r="Z30" s="18" t="s">
        <v>25</v>
      </c>
      <c r="AA30" s="18" t="s">
        <v>139</v>
      </c>
      <c r="AB30" s="18" t="s">
        <v>128</v>
      </c>
      <c r="AC30" s="22" t="s">
        <v>348</v>
      </c>
      <c r="AD30" s="23"/>
      <c r="AE30" s="24">
        <v>50749</v>
      </c>
      <c r="AF30" s="32">
        <v>30966</v>
      </c>
      <c r="AH30" s="26">
        <v>41</v>
      </c>
      <c r="AI30" s="18" t="s">
        <v>347</v>
      </c>
      <c r="AL30" s="20">
        <v>46013</v>
      </c>
      <c r="AM30" s="20">
        <v>46012</v>
      </c>
      <c r="AN30" s="18" t="s">
        <v>357</v>
      </c>
      <c r="AO30" s="23" t="s">
        <v>347</v>
      </c>
      <c r="AP30" s="23" t="s">
        <v>348</v>
      </c>
      <c r="AQ30" s="27">
        <v>46013</v>
      </c>
      <c r="AR30" s="27">
        <v>46012</v>
      </c>
      <c r="AS30" s="23" t="s">
        <v>357</v>
      </c>
      <c r="AT30" s="23" t="s">
        <v>31</v>
      </c>
      <c r="AU30" s="23" t="s">
        <v>364</v>
      </c>
      <c r="AV30" s="23" t="s">
        <v>350</v>
      </c>
      <c r="AW30" s="28">
        <v>46103</v>
      </c>
      <c r="AX30" s="29">
        <v>0</v>
      </c>
      <c r="BL30" s="13" t="s">
        <v>266</v>
      </c>
      <c r="BM30" s="13" t="s">
        <v>266</v>
      </c>
      <c r="BN30" s="13" t="s">
        <v>266</v>
      </c>
      <c r="BO30" s="13" t="s">
        <v>266</v>
      </c>
      <c r="BP30" s="13" t="s">
        <v>266</v>
      </c>
      <c r="BQ30" s="13" t="s">
        <v>266</v>
      </c>
      <c r="BR30" s="13" t="s">
        <v>267</v>
      </c>
      <c r="BS30" s="13"/>
      <c r="BT30" s="13"/>
      <c r="BU30" s="13"/>
      <c r="BV30" s="13"/>
      <c r="BW30" s="13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1"/>
    </row>
    <row r="31" s="2" customFormat="1" customHeight="1" spans="1:86">
      <c r="A31" s="17" t="s">
        <v>515</v>
      </c>
      <c r="B31" s="18" t="s">
        <v>516</v>
      </c>
      <c r="C31" s="33" t="s">
        <v>125</v>
      </c>
      <c r="D31" s="136" t="s">
        <v>338</v>
      </c>
      <c r="E31" s="18" t="s">
        <v>22</v>
      </c>
      <c r="F31" s="18" t="s">
        <v>475</v>
      </c>
      <c r="G31" s="18" t="s">
        <v>22</v>
      </c>
      <c r="H31" s="18" t="s">
        <v>22</v>
      </c>
      <c r="I31" s="18" t="s">
        <v>339</v>
      </c>
      <c r="J31" s="20">
        <v>46013</v>
      </c>
      <c r="K31" s="21"/>
      <c r="L31" s="18"/>
      <c r="M31" s="17"/>
      <c r="O31" s="18" t="s">
        <v>341</v>
      </c>
      <c r="R31" s="18" t="s">
        <v>517</v>
      </c>
      <c r="S31" s="18" t="s">
        <v>37</v>
      </c>
      <c r="T31" s="17" t="s">
        <v>518</v>
      </c>
      <c r="V31" s="18" t="s">
        <v>519</v>
      </c>
      <c r="W31" s="18" t="s">
        <v>345</v>
      </c>
      <c r="X31" s="17" t="s">
        <v>520</v>
      </c>
      <c r="Y31" s="18" t="s">
        <v>128</v>
      </c>
      <c r="Z31" s="18" t="s">
        <v>25</v>
      </c>
      <c r="AA31" s="18" t="s">
        <v>521</v>
      </c>
      <c r="AB31" s="18" t="s">
        <v>128</v>
      </c>
      <c r="AC31" s="22" t="s">
        <v>348</v>
      </c>
      <c r="AD31" s="23"/>
      <c r="AE31" s="24">
        <v>50112</v>
      </c>
      <c r="AF31" s="32">
        <v>29236</v>
      </c>
      <c r="AH31" s="26">
        <v>46</v>
      </c>
      <c r="AI31" s="18" t="s">
        <v>347</v>
      </c>
      <c r="AL31" s="20">
        <v>46013</v>
      </c>
      <c r="AM31" s="20">
        <v>46012</v>
      </c>
      <c r="AN31" s="18" t="s">
        <v>357</v>
      </c>
      <c r="AO31" s="23" t="s">
        <v>347</v>
      </c>
      <c r="AP31" s="23" t="s">
        <v>348</v>
      </c>
      <c r="AQ31" s="27">
        <v>46013</v>
      </c>
      <c r="AR31" s="27">
        <v>46012</v>
      </c>
      <c r="AS31" s="23" t="s">
        <v>357</v>
      </c>
      <c r="AT31" s="23" t="s">
        <v>31</v>
      </c>
      <c r="AU31" s="23" t="s">
        <v>364</v>
      </c>
      <c r="AV31" s="23" t="s">
        <v>350</v>
      </c>
      <c r="AW31" s="28">
        <v>46103</v>
      </c>
      <c r="AX31" s="29">
        <v>0</v>
      </c>
      <c r="BL31" s="13" t="s">
        <v>266</v>
      </c>
      <c r="BM31" s="13" t="s">
        <v>266</v>
      </c>
      <c r="BN31" s="13" t="s">
        <v>266</v>
      </c>
      <c r="BO31" s="13" t="s">
        <v>266</v>
      </c>
      <c r="BP31" s="13" t="s">
        <v>267</v>
      </c>
      <c r="BQ31" s="13"/>
      <c r="BR31" s="13"/>
      <c r="BS31" s="13"/>
      <c r="BT31" s="13"/>
      <c r="BU31" s="13"/>
      <c r="BV31" s="13"/>
      <c r="BW31" s="13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1"/>
    </row>
    <row r="32" s="2" customFormat="1" customHeight="1" spans="1:86">
      <c r="A32" s="17" t="s">
        <v>522</v>
      </c>
      <c r="B32" s="18" t="s">
        <v>140</v>
      </c>
      <c r="C32" s="33" t="s">
        <v>141</v>
      </c>
      <c r="D32" s="136" t="s">
        <v>338</v>
      </c>
      <c r="E32" s="18" t="s">
        <v>22</v>
      </c>
      <c r="F32" s="18" t="s">
        <v>94</v>
      </c>
      <c r="G32" s="18" t="s">
        <v>22</v>
      </c>
      <c r="H32" s="18" t="s">
        <v>22</v>
      </c>
      <c r="I32" s="18" t="s">
        <v>339</v>
      </c>
      <c r="J32" s="20">
        <v>42430</v>
      </c>
      <c r="K32" s="21"/>
      <c r="L32" s="18"/>
      <c r="M32" s="17" t="s">
        <v>523</v>
      </c>
      <c r="O32" s="18" t="s">
        <v>341</v>
      </c>
      <c r="R32" s="18" t="s">
        <v>524</v>
      </c>
      <c r="S32" s="18" t="s">
        <v>37</v>
      </c>
      <c r="T32" s="17" t="s">
        <v>525</v>
      </c>
      <c r="V32" s="18" t="s">
        <v>526</v>
      </c>
      <c r="W32" s="18" t="s">
        <v>345</v>
      </c>
      <c r="X32" s="17" t="s">
        <v>527</v>
      </c>
      <c r="Y32" s="18" t="s">
        <v>55</v>
      </c>
      <c r="Z32" s="18" t="s">
        <v>96</v>
      </c>
      <c r="AA32" s="18" t="s">
        <v>142</v>
      </c>
      <c r="AB32" s="18" t="s">
        <v>55</v>
      </c>
      <c r="AC32" s="22" t="s">
        <v>348</v>
      </c>
      <c r="AD32" s="13" t="s">
        <v>528</v>
      </c>
      <c r="AE32" s="24">
        <v>46237</v>
      </c>
      <c r="AF32" s="32">
        <v>27492</v>
      </c>
      <c r="AH32" s="26">
        <v>50</v>
      </c>
      <c r="AI32" s="18" t="s">
        <v>347</v>
      </c>
      <c r="AL32" s="20">
        <v>42430</v>
      </c>
      <c r="AM32" s="20"/>
      <c r="AN32" s="18" t="s">
        <v>357</v>
      </c>
      <c r="AO32" s="23" t="s">
        <v>347</v>
      </c>
      <c r="AP32" s="23"/>
      <c r="AQ32" s="27">
        <v>42430</v>
      </c>
      <c r="AR32" s="27"/>
      <c r="AS32" s="23" t="s">
        <v>357</v>
      </c>
      <c r="AT32" s="23" t="s">
        <v>31</v>
      </c>
      <c r="AU32" s="23" t="s">
        <v>529</v>
      </c>
      <c r="AV32" s="23"/>
      <c r="AW32" s="28"/>
      <c r="AX32" s="29">
        <v>10</v>
      </c>
      <c r="BL32" s="13" t="s">
        <v>266</v>
      </c>
      <c r="BM32" s="13" t="s">
        <v>266</v>
      </c>
      <c r="BN32" s="13" t="s">
        <v>266</v>
      </c>
      <c r="BO32" s="13" t="s">
        <v>266</v>
      </c>
      <c r="BP32" s="13" t="s">
        <v>266</v>
      </c>
      <c r="BQ32" s="13" t="s">
        <v>266</v>
      </c>
      <c r="BR32" s="13" t="s">
        <v>266</v>
      </c>
      <c r="BS32" s="13" t="s">
        <v>266</v>
      </c>
      <c r="BT32" s="13" t="s">
        <v>266</v>
      </c>
      <c r="BU32" s="13" t="s">
        <v>266</v>
      </c>
      <c r="BV32" s="13" t="s">
        <v>266</v>
      </c>
      <c r="BW32" s="13" t="s">
        <v>266</v>
      </c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1"/>
    </row>
    <row r="33" s="2" customFormat="1" customHeight="1" spans="1:86">
      <c r="A33" s="17" t="s">
        <v>530</v>
      </c>
      <c r="B33" s="18" t="s">
        <v>143</v>
      </c>
      <c r="C33" s="33" t="s">
        <v>141</v>
      </c>
      <c r="D33" s="136" t="s">
        <v>338</v>
      </c>
      <c r="E33" s="18" t="s">
        <v>22</v>
      </c>
      <c r="F33" s="18" t="s">
        <v>144</v>
      </c>
      <c r="G33" s="18" t="s">
        <v>22</v>
      </c>
      <c r="H33" s="18" t="s">
        <v>22</v>
      </c>
      <c r="I33" s="18" t="s">
        <v>339</v>
      </c>
      <c r="J33" s="35">
        <v>44024</v>
      </c>
      <c r="K33" s="21"/>
      <c r="L33" s="18"/>
      <c r="M33" s="17" t="s">
        <v>531</v>
      </c>
      <c r="O33" s="18" t="s">
        <v>341</v>
      </c>
      <c r="R33" s="18" t="s">
        <v>532</v>
      </c>
      <c r="S33" s="18" t="s">
        <v>37</v>
      </c>
      <c r="T33" s="17" t="s">
        <v>533</v>
      </c>
      <c r="V33" s="18" t="s">
        <v>534</v>
      </c>
      <c r="W33" s="18" t="s">
        <v>355</v>
      </c>
      <c r="X33" s="17" t="s">
        <v>535</v>
      </c>
      <c r="Y33" s="18" t="s">
        <v>26</v>
      </c>
      <c r="Z33" s="18" t="s">
        <v>25</v>
      </c>
      <c r="AA33" s="18" t="s">
        <v>146</v>
      </c>
      <c r="AB33" s="18" t="s">
        <v>26</v>
      </c>
      <c r="AC33" s="22" t="s">
        <v>456</v>
      </c>
      <c r="AD33" s="23"/>
      <c r="AE33" s="24">
        <v>53143</v>
      </c>
      <c r="AF33" s="32">
        <v>32711</v>
      </c>
      <c r="AH33" s="26">
        <v>28</v>
      </c>
      <c r="AI33" s="18" t="s">
        <v>536</v>
      </c>
      <c r="AL33" s="20">
        <v>44169</v>
      </c>
      <c r="AM33" s="20">
        <v>44166</v>
      </c>
      <c r="AN33" s="18" t="s">
        <v>357</v>
      </c>
      <c r="AO33" s="23" t="s">
        <v>536</v>
      </c>
      <c r="AP33" s="23" t="s">
        <v>348</v>
      </c>
      <c r="AQ33" s="27">
        <v>44169</v>
      </c>
      <c r="AR33" s="27">
        <v>44166</v>
      </c>
      <c r="AS33" s="23" t="s">
        <v>357</v>
      </c>
      <c r="AT33" s="23" t="s">
        <v>537</v>
      </c>
      <c r="AU33" s="23" t="s">
        <v>538</v>
      </c>
      <c r="AV33" s="23" t="s">
        <v>350</v>
      </c>
      <c r="AW33" s="28">
        <v>44257</v>
      </c>
      <c r="AX33" s="29">
        <v>5</v>
      </c>
      <c r="BL33" s="13" t="s">
        <v>266</v>
      </c>
      <c r="BM33" s="13" t="s">
        <v>266</v>
      </c>
      <c r="BN33" s="13" t="s">
        <v>266</v>
      </c>
      <c r="BO33" s="13" t="s">
        <v>266</v>
      </c>
      <c r="BP33" s="13" t="s">
        <v>266</v>
      </c>
      <c r="BQ33" s="13" t="s">
        <v>266</v>
      </c>
      <c r="BR33" s="13" t="s">
        <v>268</v>
      </c>
      <c r="BS33" s="13"/>
      <c r="BT33" s="13"/>
      <c r="BU33" s="13"/>
      <c r="BV33" s="13"/>
      <c r="BW33" s="13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1"/>
    </row>
    <row r="34" s="2" customFormat="1" customHeight="1" spans="1:86">
      <c r="A34" s="17" t="s">
        <v>539</v>
      </c>
      <c r="B34" s="18" t="s">
        <v>147</v>
      </c>
      <c r="C34" s="33" t="s">
        <v>141</v>
      </c>
      <c r="D34" s="136" t="s">
        <v>338</v>
      </c>
      <c r="E34" s="18" t="s">
        <v>22</v>
      </c>
      <c r="F34" s="18" t="s">
        <v>144</v>
      </c>
      <c r="G34" s="18" t="s">
        <v>22</v>
      </c>
      <c r="H34" s="18" t="s">
        <v>482</v>
      </c>
      <c r="I34" s="18" t="s">
        <v>339</v>
      </c>
      <c r="J34" s="20">
        <v>44754</v>
      </c>
      <c r="K34" s="21"/>
      <c r="L34" s="18"/>
      <c r="M34" s="17" t="s">
        <v>540</v>
      </c>
      <c r="O34" s="18" t="s">
        <v>341</v>
      </c>
      <c r="R34" s="18" t="s">
        <v>541</v>
      </c>
      <c r="S34" s="18" t="s">
        <v>27</v>
      </c>
      <c r="T34" s="17" t="s">
        <v>542</v>
      </c>
      <c r="V34" s="18" t="s">
        <v>543</v>
      </c>
      <c r="W34" s="18" t="s">
        <v>355</v>
      </c>
      <c r="X34" s="17" t="s">
        <v>405</v>
      </c>
      <c r="Y34" s="18" t="s">
        <v>128</v>
      </c>
      <c r="Z34" s="18" t="s">
        <v>25</v>
      </c>
      <c r="AA34" s="18" t="s">
        <v>148</v>
      </c>
      <c r="AB34" s="18" t="s">
        <v>128</v>
      </c>
      <c r="AC34" s="22" t="s">
        <v>456</v>
      </c>
      <c r="AD34" s="23"/>
      <c r="AE34" s="24">
        <v>51359</v>
      </c>
      <c r="AF34" s="32">
        <v>35700</v>
      </c>
      <c r="AH34" s="26">
        <v>36</v>
      </c>
      <c r="AI34" s="18" t="s">
        <v>347</v>
      </c>
      <c r="AL34" s="20">
        <v>44754</v>
      </c>
      <c r="AM34" s="20">
        <v>44753</v>
      </c>
      <c r="AN34" s="18" t="s">
        <v>357</v>
      </c>
      <c r="AO34" s="23" t="s">
        <v>347</v>
      </c>
      <c r="AP34" s="23" t="s">
        <v>348</v>
      </c>
      <c r="AQ34" s="27">
        <v>44754</v>
      </c>
      <c r="AR34" s="27">
        <v>44753</v>
      </c>
      <c r="AS34" s="23" t="s">
        <v>357</v>
      </c>
      <c r="AT34" s="23" t="s">
        <v>544</v>
      </c>
      <c r="AU34" s="23" t="s">
        <v>358</v>
      </c>
      <c r="AV34" s="23" t="s">
        <v>350</v>
      </c>
      <c r="AW34" s="28">
        <v>44846</v>
      </c>
      <c r="AX34" s="29">
        <v>3</v>
      </c>
      <c r="BL34" s="13" t="s">
        <v>266</v>
      </c>
      <c r="BM34" s="13" t="s">
        <v>266</v>
      </c>
      <c r="BN34" s="13" t="s">
        <v>266</v>
      </c>
      <c r="BO34" s="13" t="s">
        <v>266</v>
      </c>
      <c r="BP34" s="13" t="s">
        <v>266</v>
      </c>
      <c r="BQ34" s="13" t="s">
        <v>268</v>
      </c>
      <c r="BR34" s="13"/>
      <c r="BS34" s="13"/>
      <c r="BT34" s="13"/>
      <c r="BU34" s="13"/>
      <c r="BV34" s="13"/>
      <c r="BW34" s="13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1"/>
    </row>
    <row r="35" s="2" customFormat="1" customHeight="1" spans="1:86">
      <c r="A35" s="17" t="s">
        <v>545</v>
      </c>
      <c r="B35" s="18" t="s">
        <v>149</v>
      </c>
      <c r="C35" s="33" t="s">
        <v>141</v>
      </c>
      <c r="D35" s="136" t="s">
        <v>338</v>
      </c>
      <c r="E35" s="18" t="s">
        <v>22</v>
      </c>
      <c r="F35" s="18" t="s">
        <v>150</v>
      </c>
      <c r="G35" s="18" t="s">
        <v>22</v>
      </c>
      <c r="H35" s="18" t="s">
        <v>22</v>
      </c>
      <c r="I35" s="18" t="s">
        <v>339</v>
      </c>
      <c r="J35" s="36">
        <v>45510</v>
      </c>
      <c r="K35" s="21"/>
      <c r="L35" s="18"/>
      <c r="M35" s="17"/>
      <c r="O35" s="18" t="s">
        <v>378</v>
      </c>
      <c r="R35" s="18" t="s">
        <v>546</v>
      </c>
      <c r="S35" s="18" t="s">
        <v>27</v>
      </c>
      <c r="T35" s="17" t="s">
        <v>547</v>
      </c>
      <c r="V35" s="18" t="s">
        <v>548</v>
      </c>
      <c r="W35" s="18" t="s">
        <v>355</v>
      </c>
      <c r="X35" s="17" t="s">
        <v>549</v>
      </c>
      <c r="Y35" s="18" t="s">
        <v>34</v>
      </c>
      <c r="Z35" s="18" t="s">
        <v>152</v>
      </c>
      <c r="AA35" s="18" t="s">
        <v>151</v>
      </c>
      <c r="AB35" s="18" t="s">
        <v>34</v>
      </c>
      <c r="AC35" s="22" t="s">
        <v>348</v>
      </c>
      <c r="AD35" s="23"/>
      <c r="AE35" s="24">
        <v>48045</v>
      </c>
      <c r="AF35" s="32">
        <v>44489</v>
      </c>
      <c r="AH35" s="26">
        <v>24</v>
      </c>
      <c r="AI35" s="18" t="s">
        <v>347</v>
      </c>
      <c r="AL35" s="20">
        <v>45510</v>
      </c>
      <c r="AM35" s="20">
        <v>45509</v>
      </c>
      <c r="AN35" s="18" t="s">
        <v>357</v>
      </c>
      <c r="AO35" s="23" t="s">
        <v>347</v>
      </c>
      <c r="AP35" s="23" t="s">
        <v>348</v>
      </c>
      <c r="AQ35" s="27">
        <v>45510</v>
      </c>
      <c r="AR35" s="27">
        <v>45509</v>
      </c>
      <c r="AS35" s="23" t="s">
        <v>357</v>
      </c>
      <c r="AT35" s="23" t="s">
        <v>31</v>
      </c>
      <c r="AU35" s="23" t="s">
        <v>389</v>
      </c>
      <c r="AV35" s="23" t="s">
        <v>350</v>
      </c>
      <c r="AW35" s="28">
        <v>45602</v>
      </c>
      <c r="AX35" s="29">
        <v>1</v>
      </c>
      <c r="BL35" s="13" t="s">
        <v>266</v>
      </c>
      <c r="BM35" s="13" t="s">
        <v>266</v>
      </c>
      <c r="BN35" s="13" t="s">
        <v>266</v>
      </c>
      <c r="BO35" s="13" t="s">
        <v>266</v>
      </c>
      <c r="BP35" s="13" t="s">
        <v>266</v>
      </c>
      <c r="BQ35" s="13" t="s">
        <v>266</v>
      </c>
      <c r="BR35" s="13" t="s">
        <v>266</v>
      </c>
      <c r="BS35" s="13" t="s">
        <v>266</v>
      </c>
      <c r="BT35" s="13" t="s">
        <v>266</v>
      </c>
      <c r="BU35" s="13" t="s">
        <v>266</v>
      </c>
      <c r="BV35" s="13" t="s">
        <v>266</v>
      </c>
      <c r="BW35" s="13" t="s">
        <v>266</v>
      </c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1"/>
    </row>
    <row r="36" s="2" customFormat="1" customHeight="1" spans="1:86">
      <c r="A36" s="17" t="s">
        <v>550</v>
      </c>
      <c r="B36" s="18" t="s">
        <v>551</v>
      </c>
      <c r="C36" s="33" t="s">
        <v>141</v>
      </c>
      <c r="D36" s="136" t="s">
        <v>338</v>
      </c>
      <c r="E36" s="18" t="s">
        <v>22</v>
      </c>
      <c r="F36" s="18" t="s">
        <v>552</v>
      </c>
      <c r="G36" s="18" t="s">
        <v>22</v>
      </c>
      <c r="H36" s="18" t="s">
        <v>482</v>
      </c>
      <c r="I36" s="18" t="s">
        <v>339</v>
      </c>
      <c r="J36" s="20">
        <v>42958</v>
      </c>
      <c r="K36" s="21"/>
      <c r="L36" s="18"/>
      <c r="M36" s="17" t="s">
        <v>553</v>
      </c>
      <c r="O36" s="18" t="s">
        <v>378</v>
      </c>
      <c r="R36" s="18" t="s">
        <v>554</v>
      </c>
      <c r="S36" s="18" t="s">
        <v>27</v>
      </c>
      <c r="T36" s="17" t="s">
        <v>555</v>
      </c>
      <c r="V36" s="18" t="s">
        <v>556</v>
      </c>
      <c r="W36" s="18" t="s">
        <v>355</v>
      </c>
      <c r="X36" s="17" t="s">
        <v>405</v>
      </c>
      <c r="Y36" s="18" t="s">
        <v>128</v>
      </c>
      <c r="Z36" s="18" t="s">
        <v>25</v>
      </c>
      <c r="AA36" s="18" t="s">
        <v>557</v>
      </c>
      <c r="AB36" s="18" t="s">
        <v>128</v>
      </c>
      <c r="AC36" s="22" t="s">
        <v>456</v>
      </c>
      <c r="AD36" s="37"/>
      <c r="AE36" s="38">
        <v>46273</v>
      </c>
      <c r="AF36" s="32">
        <v>33256</v>
      </c>
      <c r="AH36" s="26">
        <v>35</v>
      </c>
      <c r="AI36" s="18" t="s">
        <v>347</v>
      </c>
      <c r="AL36" s="20">
        <v>42958</v>
      </c>
      <c r="AM36" s="20">
        <v>43687</v>
      </c>
      <c r="AN36" s="18" t="s">
        <v>357</v>
      </c>
      <c r="AO36" s="37" t="s">
        <v>347</v>
      </c>
      <c r="AP36" s="37" t="s">
        <v>348</v>
      </c>
      <c r="AQ36" s="39">
        <v>42958</v>
      </c>
      <c r="AR36" s="39">
        <v>43687</v>
      </c>
      <c r="AS36" s="37" t="s">
        <v>357</v>
      </c>
      <c r="AT36" s="37" t="s">
        <v>558</v>
      </c>
      <c r="AU36" s="37" t="s">
        <v>559</v>
      </c>
      <c r="AV36" s="37" t="s">
        <v>350</v>
      </c>
      <c r="AW36" s="40">
        <v>43049</v>
      </c>
      <c r="AX36" s="41">
        <v>8</v>
      </c>
      <c r="BL36" s="42" t="s">
        <v>266</v>
      </c>
      <c r="BM36" s="42" t="s">
        <v>266</v>
      </c>
      <c r="BN36" s="42" t="s">
        <v>266</v>
      </c>
      <c r="BO36" s="42" t="s">
        <v>268</v>
      </c>
      <c r="BP36" s="42"/>
      <c r="BQ36" s="42"/>
      <c r="BR36" s="42"/>
      <c r="BS36" s="42"/>
      <c r="BT36" s="42"/>
      <c r="BU36" s="42"/>
      <c r="BV36" s="42"/>
      <c r="BW36" s="42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1"/>
    </row>
    <row r="37" s="2" customFormat="1" customHeight="1" spans="1:86">
      <c r="A37" s="17" t="s">
        <v>560</v>
      </c>
      <c r="B37" s="18" t="s">
        <v>153</v>
      </c>
      <c r="C37" s="33" t="s">
        <v>154</v>
      </c>
      <c r="D37" s="136" t="s">
        <v>338</v>
      </c>
      <c r="E37" s="18" t="s">
        <v>22</v>
      </c>
      <c r="F37" s="18" t="s">
        <v>94</v>
      </c>
      <c r="G37" s="18" t="s">
        <v>22</v>
      </c>
      <c r="H37" s="18" t="s">
        <v>22</v>
      </c>
      <c r="I37" s="18" t="s">
        <v>339</v>
      </c>
      <c r="J37" s="20">
        <v>44179</v>
      </c>
      <c r="K37" s="21"/>
      <c r="L37" s="18"/>
      <c r="M37" s="17" t="s">
        <v>561</v>
      </c>
      <c r="O37" s="18" t="s">
        <v>341</v>
      </c>
      <c r="R37" s="18" t="s">
        <v>562</v>
      </c>
      <c r="S37" s="18" t="s">
        <v>37</v>
      </c>
      <c r="T37" s="17" t="s">
        <v>563</v>
      </c>
      <c r="V37" s="18" t="s">
        <v>564</v>
      </c>
      <c r="W37" s="18" t="s">
        <v>355</v>
      </c>
      <c r="X37" s="17" t="s">
        <v>565</v>
      </c>
      <c r="Y37" s="18" t="s">
        <v>34</v>
      </c>
      <c r="Z37" s="18" t="s">
        <v>157</v>
      </c>
      <c r="AA37" s="18" t="s">
        <v>156</v>
      </c>
      <c r="AB37" s="18" t="s">
        <v>34</v>
      </c>
      <c r="AC37" s="22" t="s">
        <v>348</v>
      </c>
      <c r="AD37" s="23"/>
      <c r="AE37" s="24">
        <v>52429</v>
      </c>
      <c r="AF37" s="25">
        <v>35598</v>
      </c>
      <c r="AH37" s="26">
        <v>28</v>
      </c>
      <c r="AI37" s="18" t="s">
        <v>347</v>
      </c>
      <c r="AL37" s="20">
        <v>44179</v>
      </c>
      <c r="AM37" s="20">
        <v>44178</v>
      </c>
      <c r="AN37" s="18" t="s">
        <v>357</v>
      </c>
      <c r="AO37" s="23" t="s">
        <v>347</v>
      </c>
      <c r="AP37" s="23" t="s">
        <v>348</v>
      </c>
      <c r="AQ37" s="27">
        <v>44179</v>
      </c>
      <c r="AR37" s="27">
        <v>44178</v>
      </c>
      <c r="AS37" s="23" t="s">
        <v>357</v>
      </c>
      <c r="AT37" s="23" t="s">
        <v>31</v>
      </c>
      <c r="AU37" s="23" t="s">
        <v>538</v>
      </c>
      <c r="AV37" s="23" t="s">
        <v>350</v>
      </c>
      <c r="AW37" s="28">
        <v>44269</v>
      </c>
      <c r="AX37" s="29">
        <v>5</v>
      </c>
      <c r="BL37" s="13" t="s">
        <v>266</v>
      </c>
      <c r="BM37" s="13" t="s">
        <v>266</v>
      </c>
      <c r="BN37" s="13" t="s">
        <v>266</v>
      </c>
      <c r="BO37" s="13" t="s">
        <v>266</v>
      </c>
      <c r="BP37" s="13" t="s">
        <v>266</v>
      </c>
      <c r="BQ37" s="13" t="s">
        <v>266</v>
      </c>
      <c r="BR37" s="13" t="s">
        <v>266</v>
      </c>
      <c r="BS37" s="13" t="s">
        <v>266</v>
      </c>
      <c r="BT37" s="13" t="s">
        <v>266</v>
      </c>
      <c r="BU37" s="13" t="s">
        <v>266</v>
      </c>
      <c r="BV37" s="13" t="s">
        <v>266</v>
      </c>
      <c r="BW37" s="13" t="s">
        <v>266</v>
      </c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1"/>
    </row>
    <row r="38" s="2" customFormat="1" customHeight="1" spans="1:86">
      <c r="A38" s="17" t="s">
        <v>566</v>
      </c>
      <c r="B38" s="18" t="s">
        <v>158</v>
      </c>
      <c r="C38" s="33" t="s">
        <v>154</v>
      </c>
      <c r="D38" s="136" t="s">
        <v>338</v>
      </c>
      <c r="E38" s="18" t="s">
        <v>22</v>
      </c>
      <c r="F38" s="18" t="s">
        <v>41</v>
      </c>
      <c r="G38" s="18" t="s">
        <v>22</v>
      </c>
      <c r="H38" s="18" t="s">
        <v>22</v>
      </c>
      <c r="I38" s="18" t="s">
        <v>339</v>
      </c>
      <c r="J38" s="20">
        <v>44139</v>
      </c>
      <c r="K38" s="21"/>
      <c r="L38" s="18"/>
      <c r="M38" s="17" t="s">
        <v>567</v>
      </c>
      <c r="O38" s="18" t="s">
        <v>341</v>
      </c>
      <c r="R38" s="18" t="s">
        <v>568</v>
      </c>
      <c r="S38" s="18" t="s">
        <v>37</v>
      </c>
      <c r="T38" s="17" t="s">
        <v>569</v>
      </c>
      <c r="V38" s="18" t="s">
        <v>570</v>
      </c>
      <c r="W38" s="18" t="s">
        <v>345</v>
      </c>
      <c r="X38" s="17" t="s">
        <v>571</v>
      </c>
      <c r="Y38" s="18" t="s">
        <v>55</v>
      </c>
      <c r="Z38" s="18" t="s">
        <v>25</v>
      </c>
      <c r="AA38" s="18" t="s">
        <v>160</v>
      </c>
      <c r="AB38" s="18" t="s">
        <v>55</v>
      </c>
      <c r="AC38" s="22" t="s">
        <v>456</v>
      </c>
      <c r="AD38" s="23"/>
      <c r="AE38" s="24">
        <v>53143</v>
      </c>
      <c r="AF38" s="25">
        <v>35057</v>
      </c>
      <c r="AH38" s="26">
        <v>30</v>
      </c>
      <c r="AI38" s="18" t="s">
        <v>347</v>
      </c>
      <c r="AL38" s="20">
        <v>44169</v>
      </c>
      <c r="AM38" s="20">
        <v>44166</v>
      </c>
      <c r="AN38" s="18" t="s">
        <v>357</v>
      </c>
      <c r="AO38" s="23" t="s">
        <v>347</v>
      </c>
      <c r="AP38" s="23" t="s">
        <v>348</v>
      </c>
      <c r="AQ38" s="27">
        <v>44169</v>
      </c>
      <c r="AR38" s="27">
        <v>44166</v>
      </c>
      <c r="AS38" s="23" t="s">
        <v>357</v>
      </c>
      <c r="AT38" s="23" t="s">
        <v>159</v>
      </c>
      <c r="AU38" s="23" t="s">
        <v>538</v>
      </c>
      <c r="AV38" s="23" t="s">
        <v>350</v>
      </c>
      <c r="AW38" s="28">
        <v>44257</v>
      </c>
      <c r="AX38" s="29">
        <v>5</v>
      </c>
      <c r="BL38" s="13" t="s">
        <v>266</v>
      </c>
      <c r="BM38" s="13" t="s">
        <v>266</v>
      </c>
      <c r="BN38" s="13" t="s">
        <v>266</v>
      </c>
      <c r="BO38" s="13" t="s">
        <v>266</v>
      </c>
      <c r="BP38" s="13" t="s">
        <v>266</v>
      </c>
      <c r="BQ38" s="13" t="s">
        <v>266</v>
      </c>
      <c r="BR38" s="13" t="s">
        <v>266</v>
      </c>
      <c r="BS38" s="13" t="s">
        <v>266</v>
      </c>
      <c r="BT38" s="13" t="s">
        <v>266</v>
      </c>
      <c r="BU38" s="13" t="s">
        <v>266</v>
      </c>
      <c r="BV38" s="13" t="s">
        <v>266</v>
      </c>
      <c r="BW38" s="13" t="s">
        <v>266</v>
      </c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1"/>
    </row>
    <row r="39" s="2" customFormat="1" customHeight="1" spans="1:86">
      <c r="A39" s="17" t="s">
        <v>572</v>
      </c>
      <c r="B39" s="18" t="s">
        <v>161</v>
      </c>
      <c r="C39" s="33" t="s">
        <v>154</v>
      </c>
      <c r="D39" s="136" t="s">
        <v>338</v>
      </c>
      <c r="E39" s="18" t="s">
        <v>22</v>
      </c>
      <c r="F39" s="18" t="s">
        <v>573</v>
      </c>
      <c r="G39" s="18" t="s">
        <v>22</v>
      </c>
      <c r="H39" s="18" t="s">
        <v>22</v>
      </c>
      <c r="I39" s="18" t="s">
        <v>339</v>
      </c>
      <c r="J39" s="20">
        <v>45874</v>
      </c>
      <c r="K39" s="21"/>
      <c r="L39" s="18"/>
      <c r="M39" s="17" t="s">
        <v>574</v>
      </c>
      <c r="O39" s="18" t="s">
        <v>341</v>
      </c>
      <c r="R39" s="18" t="s">
        <v>575</v>
      </c>
      <c r="S39" s="18" t="s">
        <v>37</v>
      </c>
      <c r="T39" s="17" t="s">
        <v>576</v>
      </c>
      <c r="V39" s="18" t="s">
        <v>577</v>
      </c>
      <c r="W39" s="18" t="s">
        <v>355</v>
      </c>
      <c r="X39" s="17" t="s">
        <v>578</v>
      </c>
      <c r="Y39" s="18" t="s">
        <v>113</v>
      </c>
      <c r="Z39" s="18" t="s">
        <v>164</v>
      </c>
      <c r="AA39" s="18" t="s">
        <v>163</v>
      </c>
      <c r="AB39" s="22" t="s">
        <v>114</v>
      </c>
      <c r="AC39" s="22" t="s">
        <v>348</v>
      </c>
      <c r="AD39" s="13" t="s">
        <v>164</v>
      </c>
      <c r="AE39" s="24">
        <v>48045</v>
      </c>
      <c r="AF39" s="25">
        <v>36944</v>
      </c>
      <c r="AH39" s="26">
        <v>25</v>
      </c>
      <c r="AI39" s="18" t="s">
        <v>347</v>
      </c>
      <c r="AL39" s="20">
        <v>45874</v>
      </c>
      <c r="AM39" s="20">
        <v>45873</v>
      </c>
      <c r="AN39" s="18" t="s">
        <v>357</v>
      </c>
      <c r="AO39" s="23" t="s">
        <v>347</v>
      </c>
      <c r="AP39" s="23" t="s">
        <v>348</v>
      </c>
      <c r="AQ39" s="27">
        <v>45874</v>
      </c>
      <c r="AR39" s="27">
        <v>45873</v>
      </c>
      <c r="AS39" s="23" t="s">
        <v>357</v>
      </c>
      <c r="AT39" s="23" t="s">
        <v>31</v>
      </c>
      <c r="AU39" s="23" t="s">
        <v>364</v>
      </c>
      <c r="AV39" s="23" t="s">
        <v>350</v>
      </c>
      <c r="AW39" s="28">
        <v>45966</v>
      </c>
      <c r="AX39" s="29">
        <v>0</v>
      </c>
      <c r="BL39" s="13" t="s">
        <v>266</v>
      </c>
      <c r="BM39" s="13" t="s">
        <v>266</v>
      </c>
      <c r="BN39" s="13" t="s">
        <v>266</v>
      </c>
      <c r="BO39" s="13" t="s">
        <v>266</v>
      </c>
      <c r="BP39" s="13" t="s">
        <v>267</v>
      </c>
      <c r="BQ39" s="13"/>
      <c r="BR39" s="13"/>
      <c r="BS39" s="13"/>
      <c r="BT39" s="13"/>
      <c r="BU39" s="13"/>
      <c r="BV39" s="13"/>
      <c r="BW39" s="13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1"/>
    </row>
    <row r="40" s="2" customFormat="1" customHeight="1" spans="1:86">
      <c r="A40" s="17" t="s">
        <v>579</v>
      </c>
      <c r="B40" s="18" t="s">
        <v>165</v>
      </c>
      <c r="C40" s="33" t="s">
        <v>154</v>
      </c>
      <c r="D40" s="136" t="s">
        <v>338</v>
      </c>
      <c r="E40" s="18" t="s">
        <v>22</v>
      </c>
      <c r="F40" s="18" t="s">
        <v>166</v>
      </c>
      <c r="G40" s="18" t="s">
        <v>22</v>
      </c>
      <c r="H40" s="18" t="s">
        <v>22</v>
      </c>
      <c r="I40" s="18" t="s">
        <v>339</v>
      </c>
      <c r="J40" s="20">
        <v>45901</v>
      </c>
      <c r="K40" s="21"/>
      <c r="L40" s="18"/>
      <c r="M40" s="17" t="s">
        <v>580</v>
      </c>
      <c r="O40" s="18" t="s">
        <v>341</v>
      </c>
      <c r="R40" s="18" t="s">
        <v>581</v>
      </c>
      <c r="S40" s="18" t="s">
        <v>37</v>
      </c>
      <c r="T40" s="17" t="s">
        <v>582</v>
      </c>
      <c r="V40" s="18" t="s">
        <v>583</v>
      </c>
      <c r="W40" s="18" t="s">
        <v>355</v>
      </c>
      <c r="X40" s="17" t="s">
        <v>584</v>
      </c>
      <c r="Y40" s="18" t="s">
        <v>113</v>
      </c>
      <c r="Z40" s="18" t="s">
        <v>168</v>
      </c>
      <c r="AA40" s="18" t="s">
        <v>167</v>
      </c>
      <c r="AB40" s="22" t="s">
        <v>114</v>
      </c>
      <c r="AC40" s="22" t="s">
        <v>356</v>
      </c>
      <c r="AD40" s="23"/>
      <c r="AE40" s="24">
        <v>47700</v>
      </c>
      <c r="AF40" s="25">
        <v>37770</v>
      </c>
      <c r="AH40" s="26">
        <v>22</v>
      </c>
      <c r="AI40" s="18" t="s">
        <v>347</v>
      </c>
      <c r="AL40" s="20">
        <v>45901</v>
      </c>
      <c r="AM40" s="20">
        <v>45900</v>
      </c>
      <c r="AN40" s="18" t="s">
        <v>357</v>
      </c>
      <c r="AO40" s="23" t="s">
        <v>347</v>
      </c>
      <c r="AP40" s="23" t="s">
        <v>348</v>
      </c>
      <c r="AQ40" s="27">
        <v>45901</v>
      </c>
      <c r="AR40" s="27">
        <v>45900</v>
      </c>
      <c r="AS40" s="23" t="s">
        <v>357</v>
      </c>
      <c r="AT40" s="23" t="s">
        <v>31</v>
      </c>
      <c r="AU40" s="23" t="s">
        <v>364</v>
      </c>
      <c r="AV40" s="23" t="s">
        <v>350</v>
      </c>
      <c r="AW40" s="28">
        <v>45992</v>
      </c>
      <c r="AX40" s="29">
        <v>0</v>
      </c>
      <c r="BL40" s="13" t="s">
        <v>266</v>
      </c>
      <c r="BM40" s="13" t="s">
        <v>266</v>
      </c>
      <c r="BN40" s="13" t="s">
        <v>266</v>
      </c>
      <c r="BO40" s="13" t="s">
        <v>266</v>
      </c>
      <c r="BP40" s="13" t="s">
        <v>266</v>
      </c>
      <c r="BQ40" s="13" t="s">
        <v>266</v>
      </c>
      <c r="BR40" s="13" t="s">
        <v>266</v>
      </c>
      <c r="BS40" s="13" t="s">
        <v>266</v>
      </c>
      <c r="BT40" s="13" t="s">
        <v>266</v>
      </c>
      <c r="BU40" s="13" t="s">
        <v>266</v>
      </c>
      <c r="BV40" s="13" t="s">
        <v>266</v>
      </c>
      <c r="BW40" s="13" t="s">
        <v>266</v>
      </c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1"/>
    </row>
    <row r="41" s="2" customFormat="1" customHeight="1" spans="1:86">
      <c r="A41" s="17" t="s">
        <v>585</v>
      </c>
      <c r="B41" s="18" t="s">
        <v>169</v>
      </c>
      <c r="C41" s="33" t="s">
        <v>154</v>
      </c>
      <c r="D41" s="136" t="s">
        <v>338</v>
      </c>
      <c r="E41" s="18" t="s">
        <v>22</v>
      </c>
      <c r="F41" s="18" t="s">
        <v>170</v>
      </c>
      <c r="G41" s="18" t="s">
        <v>22</v>
      </c>
      <c r="H41" s="18" t="s">
        <v>22</v>
      </c>
      <c r="I41" s="18" t="s">
        <v>339</v>
      </c>
      <c r="J41" s="20">
        <v>44620</v>
      </c>
      <c r="K41" s="21"/>
      <c r="L41" s="18"/>
      <c r="M41" s="17" t="s">
        <v>586</v>
      </c>
      <c r="O41" s="18" t="s">
        <v>341</v>
      </c>
      <c r="R41" s="18" t="s">
        <v>587</v>
      </c>
      <c r="S41" s="18" t="s">
        <v>27</v>
      </c>
      <c r="T41" s="17" t="s">
        <v>588</v>
      </c>
      <c r="V41" s="18" t="s">
        <v>589</v>
      </c>
      <c r="W41" s="18" t="s">
        <v>345</v>
      </c>
      <c r="X41" s="17" t="s">
        <v>590</v>
      </c>
      <c r="Y41" s="18" t="s">
        <v>26</v>
      </c>
      <c r="Z41" s="18" t="s">
        <v>25</v>
      </c>
      <c r="AA41" s="18" t="s">
        <v>171</v>
      </c>
      <c r="AB41" s="18" t="s">
        <v>26</v>
      </c>
      <c r="AC41" s="22" t="s">
        <v>348</v>
      </c>
      <c r="AD41" s="23"/>
      <c r="AE41" s="24">
        <v>52259</v>
      </c>
      <c r="AF41" s="25">
        <v>33945</v>
      </c>
      <c r="AH41" s="26">
        <v>33</v>
      </c>
      <c r="AI41" s="18" t="s">
        <v>536</v>
      </c>
      <c r="AL41" s="20">
        <v>44618</v>
      </c>
      <c r="AM41" s="20">
        <v>44617</v>
      </c>
      <c r="AN41" s="18" t="s">
        <v>357</v>
      </c>
      <c r="AO41" s="23" t="s">
        <v>536</v>
      </c>
      <c r="AP41" s="23" t="s">
        <v>348</v>
      </c>
      <c r="AQ41" s="27">
        <v>44618</v>
      </c>
      <c r="AR41" s="27">
        <v>44617</v>
      </c>
      <c r="AS41" s="23" t="s">
        <v>357</v>
      </c>
      <c r="AT41" s="23" t="s">
        <v>591</v>
      </c>
      <c r="AU41" s="23" t="s">
        <v>358</v>
      </c>
      <c r="AV41" s="23" t="s">
        <v>350</v>
      </c>
      <c r="AW41" s="28">
        <v>44707</v>
      </c>
      <c r="AX41" s="29">
        <v>4</v>
      </c>
      <c r="BL41" s="13" t="s">
        <v>266</v>
      </c>
      <c r="BM41" s="13" t="s">
        <v>266</v>
      </c>
      <c r="BN41" s="13" t="s">
        <v>266</v>
      </c>
      <c r="BO41" s="13" t="s">
        <v>266</v>
      </c>
      <c r="BP41" s="13" t="s">
        <v>266</v>
      </c>
      <c r="BQ41" s="13" t="s">
        <v>266</v>
      </c>
      <c r="BR41" s="13" t="s">
        <v>266</v>
      </c>
      <c r="BS41" s="13" t="s">
        <v>266</v>
      </c>
      <c r="BT41" s="13" t="s">
        <v>266</v>
      </c>
      <c r="BU41" s="13" t="s">
        <v>266</v>
      </c>
      <c r="BV41" s="13" t="s">
        <v>266</v>
      </c>
      <c r="BW41" s="13" t="s">
        <v>266</v>
      </c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1"/>
    </row>
    <row r="42" s="2" customFormat="1" customHeight="1" spans="1:86">
      <c r="A42" s="17" t="s">
        <v>592</v>
      </c>
      <c r="B42" s="18" t="s">
        <v>172</v>
      </c>
      <c r="C42" s="33" t="s">
        <v>154</v>
      </c>
      <c r="D42" s="136" t="s">
        <v>338</v>
      </c>
      <c r="E42" s="18" t="s">
        <v>22</v>
      </c>
      <c r="F42" s="18" t="s">
        <v>170</v>
      </c>
      <c r="G42" s="18" t="s">
        <v>22</v>
      </c>
      <c r="H42" s="18" t="s">
        <v>22</v>
      </c>
      <c r="I42" s="18" t="s">
        <v>339</v>
      </c>
      <c r="J42" s="20">
        <v>44621</v>
      </c>
      <c r="K42" s="21"/>
      <c r="L42" s="18"/>
      <c r="M42" s="17" t="s">
        <v>586</v>
      </c>
      <c r="O42" s="18" t="s">
        <v>341</v>
      </c>
      <c r="R42" s="18" t="s">
        <v>593</v>
      </c>
      <c r="S42" s="18" t="s">
        <v>27</v>
      </c>
      <c r="T42" s="17" t="s">
        <v>594</v>
      </c>
      <c r="V42" s="18" t="s">
        <v>595</v>
      </c>
      <c r="W42" s="18" t="s">
        <v>355</v>
      </c>
      <c r="X42" s="17" t="s">
        <v>594</v>
      </c>
      <c r="Y42" s="18" t="s">
        <v>34</v>
      </c>
      <c r="Z42" s="18" t="s">
        <v>174</v>
      </c>
      <c r="AA42" s="18" t="s">
        <v>173</v>
      </c>
      <c r="AB42" s="18" t="s">
        <v>34</v>
      </c>
      <c r="AC42" s="22" t="s">
        <v>348</v>
      </c>
      <c r="AD42" s="23"/>
      <c r="AE42" s="24">
        <v>51565</v>
      </c>
      <c r="AF42" s="25">
        <v>32845</v>
      </c>
      <c r="AH42" s="26">
        <v>36</v>
      </c>
      <c r="AI42" s="18" t="s">
        <v>347</v>
      </c>
      <c r="AL42" s="20">
        <v>44618</v>
      </c>
      <c r="AM42" s="20">
        <v>44617</v>
      </c>
      <c r="AN42" s="18" t="s">
        <v>357</v>
      </c>
      <c r="AO42" s="23" t="s">
        <v>347</v>
      </c>
      <c r="AP42" s="23" t="s">
        <v>348</v>
      </c>
      <c r="AQ42" s="27">
        <v>44618</v>
      </c>
      <c r="AR42" s="27">
        <v>44617</v>
      </c>
      <c r="AS42" s="23" t="s">
        <v>357</v>
      </c>
      <c r="AT42" s="23" t="s">
        <v>31</v>
      </c>
      <c r="AU42" s="23" t="s">
        <v>358</v>
      </c>
      <c r="AV42" s="23" t="s">
        <v>350</v>
      </c>
      <c r="AW42" s="28">
        <v>44707</v>
      </c>
      <c r="AX42" s="29">
        <v>4</v>
      </c>
      <c r="BL42" s="13" t="s">
        <v>266</v>
      </c>
      <c r="BM42" s="13" t="s">
        <v>266</v>
      </c>
      <c r="BN42" s="13" t="s">
        <v>266</v>
      </c>
      <c r="BO42" s="13" t="s">
        <v>266</v>
      </c>
      <c r="BP42" s="13" t="s">
        <v>267</v>
      </c>
      <c r="BQ42" s="13"/>
      <c r="BR42" s="13"/>
      <c r="BS42" s="13"/>
      <c r="BT42" s="13"/>
      <c r="BU42" s="13"/>
      <c r="BV42" s="13"/>
      <c r="BW42" s="13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1"/>
    </row>
    <row r="43" s="2" customFormat="1" customHeight="1" spans="1:86">
      <c r="A43" s="17" t="s">
        <v>596</v>
      </c>
      <c r="B43" s="18" t="s">
        <v>175</v>
      </c>
      <c r="C43" s="33" t="s">
        <v>154</v>
      </c>
      <c r="D43" s="136" t="s">
        <v>338</v>
      </c>
      <c r="E43" s="18" t="s">
        <v>22</v>
      </c>
      <c r="F43" s="18" t="s">
        <v>170</v>
      </c>
      <c r="G43" s="18" t="s">
        <v>22</v>
      </c>
      <c r="H43" s="18" t="s">
        <v>22</v>
      </c>
      <c r="I43" s="18" t="s">
        <v>339</v>
      </c>
      <c r="J43" s="20">
        <v>45721</v>
      </c>
      <c r="K43" s="21"/>
      <c r="L43" s="18"/>
      <c r="M43" s="17" t="s">
        <v>586</v>
      </c>
      <c r="O43" s="18" t="s">
        <v>341</v>
      </c>
      <c r="R43" s="18" t="s">
        <v>597</v>
      </c>
      <c r="S43" s="18" t="s">
        <v>27</v>
      </c>
      <c r="T43" s="17" t="s">
        <v>598</v>
      </c>
      <c r="V43" s="18" t="s">
        <v>599</v>
      </c>
      <c r="W43" s="18" t="s">
        <v>345</v>
      </c>
      <c r="X43" s="17" t="s">
        <v>598</v>
      </c>
      <c r="Y43" s="18" t="s">
        <v>34</v>
      </c>
      <c r="Z43" s="18" t="s">
        <v>177</v>
      </c>
      <c r="AA43" s="18" t="s">
        <v>176</v>
      </c>
      <c r="AB43" s="18" t="s">
        <v>34</v>
      </c>
      <c r="AC43" s="22" t="s">
        <v>348</v>
      </c>
      <c r="AD43" s="23"/>
      <c r="AE43" s="24">
        <v>46376</v>
      </c>
      <c r="AF43" s="25">
        <v>34898</v>
      </c>
      <c r="AH43" s="26">
        <v>30</v>
      </c>
      <c r="AI43" s="18" t="s">
        <v>347</v>
      </c>
      <c r="AL43" s="20">
        <v>45721</v>
      </c>
      <c r="AM43" s="20">
        <v>45720</v>
      </c>
      <c r="AN43" s="18" t="s">
        <v>357</v>
      </c>
      <c r="AO43" s="23" t="s">
        <v>347</v>
      </c>
      <c r="AP43" s="23" t="s">
        <v>348</v>
      </c>
      <c r="AQ43" s="27">
        <v>45721</v>
      </c>
      <c r="AR43" s="27">
        <v>45720</v>
      </c>
      <c r="AS43" s="23" t="s">
        <v>357</v>
      </c>
      <c r="AT43" s="23" t="s">
        <v>31</v>
      </c>
      <c r="AU43" s="23" t="s">
        <v>364</v>
      </c>
      <c r="AV43" s="23" t="s">
        <v>350</v>
      </c>
      <c r="AW43" s="28">
        <v>45813</v>
      </c>
      <c r="AX43" s="29">
        <v>1</v>
      </c>
      <c r="BL43" s="13" t="s">
        <v>266</v>
      </c>
      <c r="BM43" s="13" t="s">
        <v>266</v>
      </c>
      <c r="BN43" s="13" t="s">
        <v>266</v>
      </c>
      <c r="BO43" s="13" t="s">
        <v>266</v>
      </c>
      <c r="BP43" s="13" t="s">
        <v>266</v>
      </c>
      <c r="BQ43" s="13" t="s">
        <v>266</v>
      </c>
      <c r="BR43" s="13" t="s">
        <v>266</v>
      </c>
      <c r="BS43" s="13" t="s">
        <v>266</v>
      </c>
      <c r="BT43" s="13" t="s">
        <v>266</v>
      </c>
      <c r="BU43" s="13" t="s">
        <v>266</v>
      </c>
      <c r="BV43" s="13" t="s">
        <v>266</v>
      </c>
      <c r="BW43" s="13" t="s">
        <v>266</v>
      </c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1"/>
    </row>
    <row r="44" s="2" customFormat="1" customHeight="1" spans="1:86">
      <c r="A44" s="17" t="s">
        <v>600</v>
      </c>
      <c r="B44" s="18" t="s">
        <v>178</v>
      </c>
      <c r="C44" s="33" t="s">
        <v>154</v>
      </c>
      <c r="D44" s="136" t="s">
        <v>338</v>
      </c>
      <c r="E44" s="18" t="s">
        <v>22</v>
      </c>
      <c r="F44" s="18" t="s">
        <v>170</v>
      </c>
      <c r="G44" s="18" t="s">
        <v>22</v>
      </c>
      <c r="H44" s="18" t="s">
        <v>22</v>
      </c>
      <c r="I44" s="18" t="s">
        <v>339</v>
      </c>
      <c r="J44" s="20">
        <v>44620</v>
      </c>
      <c r="K44" s="21"/>
      <c r="L44" s="18"/>
      <c r="M44" s="17" t="s">
        <v>586</v>
      </c>
      <c r="O44" s="18" t="s">
        <v>378</v>
      </c>
      <c r="R44" s="18" t="s">
        <v>601</v>
      </c>
      <c r="S44" s="18" t="s">
        <v>27</v>
      </c>
      <c r="T44" s="17" t="s">
        <v>602</v>
      </c>
      <c r="V44" s="18" t="s">
        <v>603</v>
      </c>
      <c r="W44" s="18" t="s">
        <v>345</v>
      </c>
      <c r="X44" s="17" t="s">
        <v>604</v>
      </c>
      <c r="Y44" s="18" t="s">
        <v>26</v>
      </c>
      <c r="Z44" s="18" t="s">
        <v>25</v>
      </c>
      <c r="AA44" s="18" t="s">
        <v>179</v>
      </c>
      <c r="AB44" s="18" t="s">
        <v>26</v>
      </c>
      <c r="AC44" s="22" t="s">
        <v>348</v>
      </c>
      <c r="AD44" s="23"/>
      <c r="AE44" s="24">
        <v>2</v>
      </c>
      <c r="AF44" s="25">
        <v>26649</v>
      </c>
      <c r="AH44" s="26">
        <v>53</v>
      </c>
      <c r="AI44" s="18" t="s">
        <v>347</v>
      </c>
      <c r="AL44" s="20">
        <v>42979</v>
      </c>
      <c r="AM44" s="20">
        <v>43709</v>
      </c>
      <c r="AN44" s="18" t="s">
        <v>357</v>
      </c>
      <c r="AO44" s="23" t="s">
        <v>347</v>
      </c>
      <c r="AP44" s="23" t="s">
        <v>348</v>
      </c>
      <c r="AQ44" s="27">
        <v>42979</v>
      </c>
      <c r="AR44" s="27">
        <v>43709</v>
      </c>
      <c r="AS44" s="23" t="s">
        <v>357</v>
      </c>
      <c r="AT44" s="23" t="s">
        <v>31</v>
      </c>
      <c r="AU44" s="23" t="s">
        <v>559</v>
      </c>
      <c r="AV44" s="23" t="s">
        <v>350</v>
      </c>
      <c r="AW44" s="28">
        <v>43070</v>
      </c>
      <c r="AX44" s="29">
        <v>8</v>
      </c>
      <c r="BL44" s="13" t="s">
        <v>266</v>
      </c>
      <c r="BM44" s="13" t="s">
        <v>266</v>
      </c>
      <c r="BN44" s="13" t="s">
        <v>266</v>
      </c>
      <c r="BO44" s="13" t="s">
        <v>266</v>
      </c>
      <c r="BP44" s="13" t="s">
        <v>266</v>
      </c>
      <c r="BQ44" s="13" t="s">
        <v>266</v>
      </c>
      <c r="BR44" s="13" t="s">
        <v>266</v>
      </c>
      <c r="BS44" s="13" t="s">
        <v>266</v>
      </c>
      <c r="BT44" s="13" t="s">
        <v>266</v>
      </c>
      <c r="BU44" s="13" t="s">
        <v>266</v>
      </c>
      <c r="BV44" s="13" t="s">
        <v>266</v>
      </c>
      <c r="BW44" s="13" t="s">
        <v>266</v>
      </c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1"/>
    </row>
    <row r="45" s="2" customFormat="1" customHeight="1" spans="1:86">
      <c r="A45" s="17" t="s">
        <v>605</v>
      </c>
      <c r="B45" s="18" t="s">
        <v>180</v>
      </c>
      <c r="C45" s="33" t="s">
        <v>154</v>
      </c>
      <c r="D45" s="136" t="s">
        <v>338</v>
      </c>
      <c r="E45" s="18" t="s">
        <v>22</v>
      </c>
      <c r="F45" s="18" t="s">
        <v>170</v>
      </c>
      <c r="G45" s="18" t="s">
        <v>22</v>
      </c>
      <c r="H45" s="18" t="s">
        <v>22</v>
      </c>
      <c r="I45" s="18" t="s">
        <v>339</v>
      </c>
      <c r="J45" s="20">
        <v>40283</v>
      </c>
      <c r="K45" s="21"/>
      <c r="L45" s="18"/>
      <c r="M45" s="17" t="s">
        <v>586</v>
      </c>
      <c r="O45" s="18" t="s">
        <v>341</v>
      </c>
      <c r="R45" s="18" t="s">
        <v>606</v>
      </c>
      <c r="S45" s="18" t="s">
        <v>27</v>
      </c>
      <c r="T45" s="17" t="s">
        <v>607</v>
      </c>
      <c r="V45" s="18" t="s">
        <v>608</v>
      </c>
      <c r="W45" s="18" t="s">
        <v>345</v>
      </c>
      <c r="X45" s="17" t="s">
        <v>609</v>
      </c>
      <c r="Y45" s="18" t="s">
        <v>26</v>
      </c>
      <c r="Z45" s="18" t="s">
        <v>25</v>
      </c>
      <c r="AA45" s="18" t="s">
        <v>179</v>
      </c>
      <c r="AB45" s="18" t="s">
        <v>26</v>
      </c>
      <c r="AC45" s="22" t="s">
        <v>348</v>
      </c>
      <c r="AD45" s="13"/>
      <c r="AE45" s="24">
        <v>50038</v>
      </c>
      <c r="AF45" s="25">
        <v>30873</v>
      </c>
      <c r="AH45" s="26">
        <v>41</v>
      </c>
      <c r="AI45" s="18" t="s">
        <v>347</v>
      </c>
      <c r="AL45" s="20"/>
      <c r="AM45" s="20"/>
      <c r="AN45" s="18" t="s">
        <v>357</v>
      </c>
      <c r="AO45" s="23" t="s">
        <v>347</v>
      </c>
      <c r="AP45" s="23"/>
      <c r="AQ45" s="27"/>
      <c r="AR45" s="27"/>
      <c r="AS45" s="23" t="s">
        <v>357</v>
      </c>
      <c r="AT45" s="23" t="s">
        <v>31</v>
      </c>
      <c r="AU45" s="23" t="s">
        <v>610</v>
      </c>
      <c r="AV45" s="23"/>
      <c r="AW45" s="28"/>
      <c r="AX45" s="29">
        <v>15</v>
      </c>
      <c r="BL45" s="13" t="s">
        <v>266</v>
      </c>
      <c r="BM45" s="13" t="s">
        <v>266</v>
      </c>
      <c r="BN45" s="13" t="s">
        <v>266</v>
      </c>
      <c r="BO45" s="13" t="s">
        <v>266</v>
      </c>
      <c r="BP45" s="13" t="s">
        <v>266</v>
      </c>
      <c r="BQ45" s="13" t="s">
        <v>266</v>
      </c>
      <c r="BR45" s="13" t="s">
        <v>266</v>
      </c>
      <c r="BS45" s="13" t="s">
        <v>266</v>
      </c>
      <c r="BT45" s="13" t="s">
        <v>266</v>
      </c>
      <c r="BU45" s="13" t="s">
        <v>266</v>
      </c>
      <c r="BV45" s="13" t="s">
        <v>266</v>
      </c>
      <c r="BW45" s="13" t="s">
        <v>266</v>
      </c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1"/>
    </row>
    <row r="46" s="2" customFormat="1" customHeight="1" spans="1:86">
      <c r="A46" s="17" t="s">
        <v>611</v>
      </c>
      <c r="B46" s="18" t="s">
        <v>181</v>
      </c>
      <c r="C46" s="33" t="s">
        <v>154</v>
      </c>
      <c r="D46" s="136" t="s">
        <v>338</v>
      </c>
      <c r="E46" s="18" t="s">
        <v>22</v>
      </c>
      <c r="F46" s="18" t="s">
        <v>182</v>
      </c>
      <c r="G46" s="18" t="s">
        <v>22</v>
      </c>
      <c r="H46" s="18" t="s">
        <v>22</v>
      </c>
      <c r="I46" s="18" t="s">
        <v>339</v>
      </c>
      <c r="J46" s="20">
        <v>45847</v>
      </c>
      <c r="K46" s="21"/>
      <c r="L46" s="18"/>
      <c r="M46" s="17" t="s">
        <v>612</v>
      </c>
      <c r="O46" s="18" t="s">
        <v>341</v>
      </c>
      <c r="R46" s="18" t="s">
        <v>613</v>
      </c>
      <c r="S46" s="18" t="s">
        <v>37</v>
      </c>
      <c r="T46" s="17" t="s">
        <v>614</v>
      </c>
      <c r="V46" s="18" t="s">
        <v>615</v>
      </c>
      <c r="W46" s="18" t="s">
        <v>355</v>
      </c>
      <c r="X46" s="17" t="s">
        <v>616</v>
      </c>
      <c r="Y46" s="18" t="s">
        <v>113</v>
      </c>
      <c r="Z46" s="18" t="s">
        <v>184</v>
      </c>
      <c r="AA46" s="18" t="s">
        <v>183</v>
      </c>
      <c r="AB46" s="22" t="s">
        <v>114</v>
      </c>
      <c r="AC46" s="22" t="s">
        <v>356</v>
      </c>
      <c r="AD46" s="23" t="s">
        <v>617</v>
      </c>
      <c r="AE46" s="24">
        <v>47698</v>
      </c>
      <c r="AF46" s="25">
        <v>37750</v>
      </c>
      <c r="AH46" s="26">
        <v>22</v>
      </c>
      <c r="AI46" s="18" t="s">
        <v>347</v>
      </c>
      <c r="AL46" s="20">
        <v>45847</v>
      </c>
      <c r="AM46" s="20">
        <v>45846</v>
      </c>
      <c r="AN46" s="18"/>
      <c r="AO46" s="23" t="s">
        <v>347</v>
      </c>
      <c r="AP46" s="23" t="s">
        <v>348</v>
      </c>
      <c r="AQ46" s="27">
        <v>45847</v>
      </c>
      <c r="AR46" s="27">
        <v>45846</v>
      </c>
      <c r="AS46" s="23"/>
      <c r="AT46" s="23" t="s">
        <v>31</v>
      </c>
      <c r="AU46" s="23" t="s">
        <v>364</v>
      </c>
      <c r="AV46" s="23" t="s">
        <v>350</v>
      </c>
      <c r="AW46" s="28">
        <v>45939</v>
      </c>
      <c r="AX46" s="29">
        <v>0</v>
      </c>
      <c r="BL46" s="13" t="s">
        <v>266</v>
      </c>
      <c r="BM46" s="13" t="s">
        <v>266</v>
      </c>
      <c r="BN46" s="13" t="s">
        <v>266</v>
      </c>
      <c r="BO46" s="13" t="s">
        <v>266</v>
      </c>
      <c r="BP46" s="13" t="s">
        <v>266</v>
      </c>
      <c r="BQ46" s="13" t="s">
        <v>266</v>
      </c>
      <c r="BR46" s="13" t="s">
        <v>266</v>
      </c>
      <c r="BS46" s="13" t="s">
        <v>266</v>
      </c>
      <c r="BT46" s="13" t="s">
        <v>266</v>
      </c>
      <c r="BU46" s="13" t="s">
        <v>266</v>
      </c>
      <c r="BV46" s="13" t="s">
        <v>266</v>
      </c>
      <c r="BW46" s="13" t="s">
        <v>266</v>
      </c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1"/>
    </row>
    <row r="47" s="2" customFormat="1" customHeight="1" spans="1:86">
      <c r="A47" s="17" t="s">
        <v>618</v>
      </c>
      <c r="B47" s="18" t="s">
        <v>185</v>
      </c>
      <c r="C47" s="33" t="s">
        <v>154</v>
      </c>
      <c r="D47" s="136" t="s">
        <v>338</v>
      </c>
      <c r="E47" s="18" t="s">
        <v>22</v>
      </c>
      <c r="F47" s="18" t="s">
        <v>619</v>
      </c>
      <c r="G47" s="18" t="s">
        <v>22</v>
      </c>
      <c r="H47" s="18" t="s">
        <v>22</v>
      </c>
      <c r="I47" s="18" t="s">
        <v>339</v>
      </c>
      <c r="J47" s="20">
        <v>45965</v>
      </c>
      <c r="K47" s="43"/>
      <c r="L47" s="43"/>
      <c r="M47" s="17" t="s">
        <v>620</v>
      </c>
      <c r="O47" s="43"/>
      <c r="R47" s="18" t="s">
        <v>621</v>
      </c>
      <c r="S47" s="18" t="s">
        <v>37</v>
      </c>
      <c r="T47" s="17" t="s">
        <v>622</v>
      </c>
      <c r="V47" s="18" t="s">
        <v>623</v>
      </c>
      <c r="W47" s="18" t="s">
        <v>355</v>
      </c>
      <c r="X47" s="17" t="s">
        <v>622</v>
      </c>
      <c r="Y47" s="18" t="s">
        <v>113</v>
      </c>
      <c r="Z47" s="18" t="s">
        <v>187</v>
      </c>
      <c r="AA47" s="18" t="s">
        <v>111</v>
      </c>
      <c r="AB47" s="22" t="s">
        <v>114</v>
      </c>
      <c r="AC47" s="22" t="s">
        <v>348</v>
      </c>
      <c r="AD47" s="23"/>
      <c r="AE47" s="24">
        <v>47162</v>
      </c>
      <c r="AF47" s="25">
        <v>36771</v>
      </c>
      <c r="AH47" s="26">
        <v>25</v>
      </c>
      <c r="AI47" s="18" t="s">
        <v>347</v>
      </c>
      <c r="AL47" s="20">
        <v>45965</v>
      </c>
      <c r="AM47" s="20">
        <v>45964</v>
      </c>
      <c r="AN47" s="18" t="s">
        <v>357</v>
      </c>
      <c r="AO47" s="23" t="s">
        <v>347</v>
      </c>
      <c r="AP47" s="23" t="s">
        <v>348</v>
      </c>
      <c r="AQ47" s="27">
        <v>45965</v>
      </c>
      <c r="AR47" s="27">
        <v>45964</v>
      </c>
      <c r="AS47" s="23" t="s">
        <v>357</v>
      </c>
      <c r="AT47" s="23" t="s">
        <v>31</v>
      </c>
      <c r="AU47" s="23" t="s">
        <v>364</v>
      </c>
      <c r="AV47" s="23" t="s">
        <v>350</v>
      </c>
      <c r="AW47" s="28">
        <v>46057</v>
      </c>
      <c r="AX47" s="29">
        <v>0</v>
      </c>
      <c r="BL47" s="13" t="s">
        <v>266</v>
      </c>
      <c r="BM47" s="13" t="s">
        <v>266</v>
      </c>
      <c r="BN47" s="13" t="s">
        <v>266</v>
      </c>
      <c r="BO47" s="13" t="s">
        <v>266</v>
      </c>
      <c r="BP47" s="13" t="s">
        <v>266</v>
      </c>
      <c r="BQ47" s="13" t="s">
        <v>268</v>
      </c>
      <c r="BR47" s="13"/>
      <c r="BS47" s="13"/>
      <c r="BT47" s="13"/>
      <c r="BU47" s="13"/>
      <c r="BV47" s="13"/>
      <c r="BW47" s="13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1"/>
    </row>
    <row r="48" s="2" customFormat="1" customHeight="1" spans="1:86">
      <c r="A48" s="17" t="s">
        <v>624</v>
      </c>
      <c r="B48" s="18" t="s">
        <v>213</v>
      </c>
      <c r="C48" s="33" t="s">
        <v>190</v>
      </c>
      <c r="D48" s="136" t="s">
        <v>338</v>
      </c>
      <c r="E48" s="18" t="s">
        <v>22</v>
      </c>
      <c r="F48" s="18" t="s">
        <v>214</v>
      </c>
      <c r="G48" s="18" t="s">
        <v>22</v>
      </c>
      <c r="H48" s="18" t="s">
        <v>22</v>
      </c>
      <c r="I48" s="18" t="s">
        <v>339</v>
      </c>
      <c r="J48" s="20">
        <v>44445</v>
      </c>
      <c r="K48" s="21"/>
      <c r="L48" s="18"/>
      <c r="M48" s="17" t="s">
        <v>625</v>
      </c>
      <c r="O48" s="18" t="s">
        <v>378</v>
      </c>
      <c r="R48" s="18" t="s">
        <v>626</v>
      </c>
      <c r="S48" s="18" t="s">
        <v>27</v>
      </c>
      <c r="T48" s="17" t="s">
        <v>627</v>
      </c>
      <c r="V48" s="18" t="s">
        <v>628</v>
      </c>
      <c r="W48" s="18" t="s">
        <v>345</v>
      </c>
      <c r="X48" s="17" t="s">
        <v>627</v>
      </c>
      <c r="Y48" s="18" t="s">
        <v>34</v>
      </c>
      <c r="Z48" s="18" t="s">
        <v>88</v>
      </c>
      <c r="AA48" s="18" t="s">
        <v>215</v>
      </c>
      <c r="AB48" s="18" t="s">
        <v>34</v>
      </c>
      <c r="AC48" s="22" t="s">
        <v>348</v>
      </c>
      <c r="AD48" s="13" t="s">
        <v>629</v>
      </c>
      <c r="AE48" s="24">
        <v>49895</v>
      </c>
      <c r="AF48" s="25">
        <v>30462</v>
      </c>
      <c r="AH48" s="26">
        <v>42</v>
      </c>
      <c r="AI48" s="18" t="s">
        <v>347</v>
      </c>
      <c r="AL48" s="20">
        <v>44445</v>
      </c>
      <c r="AM48" s="20">
        <v>44809</v>
      </c>
      <c r="AN48" s="18" t="s">
        <v>357</v>
      </c>
      <c r="AO48" s="23" t="s">
        <v>347</v>
      </c>
      <c r="AP48" s="23" t="s">
        <v>348</v>
      </c>
      <c r="AQ48" s="27">
        <v>44445</v>
      </c>
      <c r="AR48" s="27">
        <v>44809</v>
      </c>
      <c r="AS48" s="23" t="s">
        <v>357</v>
      </c>
      <c r="AT48" s="23" t="s">
        <v>31</v>
      </c>
      <c r="AU48" s="23" t="s">
        <v>349</v>
      </c>
      <c r="AV48" s="23" t="s">
        <v>350</v>
      </c>
      <c r="AW48" s="28">
        <v>44536</v>
      </c>
      <c r="AX48" s="29">
        <v>4</v>
      </c>
      <c r="BL48" s="13" t="s">
        <v>266</v>
      </c>
      <c r="BM48" s="13" t="s">
        <v>266</v>
      </c>
      <c r="BN48" s="13" t="s">
        <v>266</v>
      </c>
      <c r="BO48" s="13" t="s">
        <v>266</v>
      </c>
      <c r="BP48" s="13" t="s">
        <v>266</v>
      </c>
      <c r="BQ48" s="13" t="s">
        <v>266</v>
      </c>
      <c r="BR48" s="13" t="s">
        <v>266</v>
      </c>
      <c r="BS48" s="13" t="s">
        <v>266</v>
      </c>
      <c r="BT48" s="13" t="s">
        <v>266</v>
      </c>
      <c r="BU48" s="13" t="s">
        <v>266</v>
      </c>
      <c r="BV48" s="13" t="s">
        <v>266</v>
      </c>
      <c r="BW48" s="13" t="s">
        <v>266</v>
      </c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1"/>
    </row>
    <row r="49" s="2" customFormat="1" customHeight="1" spans="1:86">
      <c r="A49" s="17" t="s">
        <v>630</v>
      </c>
      <c r="B49" s="18" t="s">
        <v>216</v>
      </c>
      <c r="C49" s="33" t="s">
        <v>190</v>
      </c>
      <c r="D49" s="136" t="s">
        <v>338</v>
      </c>
      <c r="E49" s="18" t="s">
        <v>22</v>
      </c>
      <c r="F49" s="18" t="s">
        <v>217</v>
      </c>
      <c r="G49" s="18" t="s">
        <v>22</v>
      </c>
      <c r="H49" s="18" t="s">
        <v>22</v>
      </c>
      <c r="I49" s="18" t="s">
        <v>339</v>
      </c>
      <c r="J49" s="20">
        <v>45460</v>
      </c>
      <c r="K49" s="21"/>
      <c r="L49" s="18"/>
      <c r="M49" s="17" t="s">
        <v>631</v>
      </c>
      <c r="O49" s="18"/>
      <c r="R49" s="18" t="s">
        <v>632</v>
      </c>
      <c r="S49" s="18" t="s">
        <v>27</v>
      </c>
      <c r="T49" s="17" t="s">
        <v>633</v>
      </c>
      <c r="V49" s="18" t="s">
        <v>634</v>
      </c>
      <c r="W49" s="18" t="s">
        <v>355</v>
      </c>
      <c r="X49" s="17" t="s">
        <v>635</v>
      </c>
      <c r="Y49" s="18" t="s">
        <v>113</v>
      </c>
      <c r="Z49" s="18" t="s">
        <v>118</v>
      </c>
      <c r="AA49" s="18" t="s">
        <v>218</v>
      </c>
      <c r="AB49" s="22" t="s">
        <v>219</v>
      </c>
      <c r="AC49" s="22" t="s">
        <v>348</v>
      </c>
      <c r="AD49" s="13" t="s">
        <v>629</v>
      </c>
      <c r="AE49" s="24">
        <v>47279</v>
      </c>
      <c r="AF49" s="25">
        <v>36960</v>
      </c>
      <c r="AH49" s="26">
        <v>25</v>
      </c>
      <c r="AI49" s="18" t="s">
        <v>347</v>
      </c>
      <c r="AL49" s="20">
        <v>45460</v>
      </c>
      <c r="AM49" s="20">
        <v>45459</v>
      </c>
      <c r="AN49" s="18" t="s">
        <v>357</v>
      </c>
      <c r="AO49" s="23" t="s">
        <v>347</v>
      </c>
      <c r="AP49" s="23" t="s">
        <v>348</v>
      </c>
      <c r="AQ49" s="27">
        <v>45460</v>
      </c>
      <c r="AR49" s="27">
        <v>45459</v>
      </c>
      <c r="AS49" s="23" t="s">
        <v>357</v>
      </c>
      <c r="AT49" s="23" t="s">
        <v>31</v>
      </c>
      <c r="AU49" s="23" t="s">
        <v>389</v>
      </c>
      <c r="AV49" s="23" t="s">
        <v>350</v>
      </c>
      <c r="AW49" s="28">
        <v>45552</v>
      </c>
      <c r="AX49" s="29">
        <v>1</v>
      </c>
      <c r="BL49" s="13" t="s">
        <v>266</v>
      </c>
      <c r="BM49" s="13" t="s">
        <v>266</v>
      </c>
      <c r="BN49" s="13" t="s">
        <v>266</v>
      </c>
      <c r="BO49" s="13" t="s">
        <v>266</v>
      </c>
      <c r="BP49" s="13" t="s">
        <v>266</v>
      </c>
      <c r="BQ49" s="13" t="s">
        <v>268</v>
      </c>
      <c r="BR49" s="13"/>
      <c r="BS49" s="13"/>
      <c r="BT49" s="13"/>
      <c r="BU49" s="13"/>
      <c r="BV49" s="13"/>
      <c r="BW49" s="13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1"/>
    </row>
    <row r="50" s="2" customFormat="1" customHeight="1" spans="1:86">
      <c r="A50" s="17" t="s">
        <v>636</v>
      </c>
      <c r="B50" s="18" t="s">
        <v>220</v>
      </c>
      <c r="C50" s="33" t="s">
        <v>190</v>
      </c>
      <c r="D50" s="136" t="s">
        <v>338</v>
      </c>
      <c r="E50" s="18" t="s">
        <v>22</v>
      </c>
      <c r="F50" s="18" t="s">
        <v>217</v>
      </c>
      <c r="G50" s="18" t="s">
        <v>22</v>
      </c>
      <c r="H50" s="18" t="s">
        <v>22</v>
      </c>
      <c r="I50" s="18" t="s">
        <v>339</v>
      </c>
      <c r="J50" s="20">
        <v>45838</v>
      </c>
      <c r="K50" s="21"/>
      <c r="L50" s="18"/>
      <c r="M50" s="17"/>
      <c r="O50" s="18" t="s">
        <v>378</v>
      </c>
      <c r="R50" s="18" t="s">
        <v>637</v>
      </c>
      <c r="S50" s="18" t="s">
        <v>27</v>
      </c>
      <c r="T50" s="17" t="s">
        <v>638</v>
      </c>
      <c r="V50" s="18" t="s">
        <v>639</v>
      </c>
      <c r="W50" s="18" t="s">
        <v>355</v>
      </c>
      <c r="X50" s="17"/>
      <c r="Y50" s="18" t="s">
        <v>113</v>
      </c>
      <c r="Z50" s="18" t="s">
        <v>222</v>
      </c>
      <c r="AA50" s="18" t="s">
        <v>221</v>
      </c>
      <c r="AB50" s="22" t="s">
        <v>219</v>
      </c>
      <c r="AC50" s="22" t="s">
        <v>348</v>
      </c>
      <c r="AD50" s="13" t="s">
        <v>629</v>
      </c>
      <c r="AE50" s="24"/>
      <c r="AF50" s="25">
        <v>37142</v>
      </c>
      <c r="AH50" s="26">
        <v>24</v>
      </c>
      <c r="AI50" s="18" t="s">
        <v>347</v>
      </c>
      <c r="AL50" s="20"/>
      <c r="AM50" s="20"/>
      <c r="AN50" s="18"/>
      <c r="AO50" s="23" t="s">
        <v>347</v>
      </c>
      <c r="AP50" s="23" t="s">
        <v>348</v>
      </c>
      <c r="AQ50" s="27"/>
      <c r="AR50" s="27"/>
      <c r="AS50" s="23"/>
      <c r="AT50" s="23"/>
      <c r="AU50" s="23"/>
      <c r="AV50" s="23"/>
      <c r="AW50" s="28"/>
      <c r="AX50" s="29"/>
      <c r="BL50" s="13"/>
      <c r="BM50" s="13"/>
      <c r="BN50" s="13"/>
      <c r="BO50" s="13" t="s">
        <v>269</v>
      </c>
      <c r="BP50" s="13" t="s">
        <v>266</v>
      </c>
      <c r="BQ50" s="13" t="s">
        <v>266</v>
      </c>
      <c r="BR50" s="13" t="s">
        <v>266</v>
      </c>
      <c r="BS50" s="13" t="s">
        <v>266</v>
      </c>
      <c r="BT50" s="13" t="s">
        <v>266</v>
      </c>
      <c r="BU50" s="13" t="s">
        <v>266</v>
      </c>
      <c r="BV50" s="13" t="s">
        <v>266</v>
      </c>
      <c r="BW50" s="13" t="s">
        <v>266</v>
      </c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1"/>
    </row>
    <row r="51" s="2" customFormat="1" customHeight="1" spans="1:86">
      <c r="A51" s="17" t="s">
        <v>640</v>
      </c>
      <c r="B51" s="18" t="s">
        <v>223</v>
      </c>
      <c r="C51" s="33" t="s">
        <v>190</v>
      </c>
      <c r="D51" s="136" t="s">
        <v>338</v>
      </c>
      <c r="E51" s="18" t="s">
        <v>22</v>
      </c>
      <c r="F51" s="18" t="s">
        <v>217</v>
      </c>
      <c r="G51" s="18" t="s">
        <v>22</v>
      </c>
      <c r="H51" s="18" t="s">
        <v>22</v>
      </c>
      <c r="I51" s="18" t="s">
        <v>339</v>
      </c>
      <c r="J51" s="20">
        <v>46128</v>
      </c>
      <c r="K51" s="21"/>
      <c r="L51" s="18"/>
      <c r="M51" s="17"/>
      <c r="O51" s="18"/>
      <c r="R51" s="18"/>
      <c r="S51" s="18" t="s">
        <v>27</v>
      </c>
      <c r="T51" s="17" t="s">
        <v>641</v>
      </c>
      <c r="V51" s="18"/>
      <c r="W51" s="18"/>
      <c r="X51" s="17"/>
      <c r="Y51" s="18" t="s">
        <v>113</v>
      </c>
      <c r="Z51" s="18" t="s">
        <v>225</v>
      </c>
      <c r="AA51" s="18" t="s">
        <v>224</v>
      </c>
      <c r="AB51" s="22" t="s">
        <v>219</v>
      </c>
      <c r="AC51" s="22" t="s">
        <v>348</v>
      </c>
      <c r="AD51" s="13" t="s">
        <v>629</v>
      </c>
      <c r="AE51" s="24"/>
      <c r="AF51" s="25">
        <v>37560</v>
      </c>
      <c r="AH51" s="26">
        <v>24</v>
      </c>
      <c r="AI51" s="18"/>
      <c r="AL51" s="20"/>
      <c r="AM51" s="20"/>
      <c r="AN51" s="18"/>
      <c r="AO51" s="23" t="s">
        <v>347</v>
      </c>
      <c r="AP51" s="23" t="s">
        <v>348</v>
      </c>
      <c r="AQ51" s="27"/>
      <c r="AR51" s="27"/>
      <c r="AS51" s="23"/>
      <c r="AT51" s="23" t="s">
        <v>642</v>
      </c>
      <c r="AU51" s="23" t="s">
        <v>435</v>
      </c>
      <c r="AV51" s="23"/>
      <c r="AW51" s="28"/>
      <c r="AX51" s="29"/>
      <c r="BL51" s="13"/>
      <c r="BM51" s="13"/>
      <c r="BN51" s="13"/>
      <c r="BO51" s="13" t="s">
        <v>269</v>
      </c>
      <c r="BP51" s="13" t="s">
        <v>266</v>
      </c>
      <c r="BQ51" s="13" t="s">
        <v>266</v>
      </c>
      <c r="BR51" s="13" t="s">
        <v>266</v>
      </c>
      <c r="BS51" s="13" t="s">
        <v>266</v>
      </c>
      <c r="BT51" s="13" t="s">
        <v>266</v>
      </c>
      <c r="BU51" s="13" t="s">
        <v>266</v>
      </c>
      <c r="BV51" s="13" t="s">
        <v>266</v>
      </c>
      <c r="BW51" s="13" t="s">
        <v>266</v>
      </c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1"/>
    </row>
    <row r="52" s="2" customFormat="1" customHeight="1" spans="1:86">
      <c r="A52" s="17" t="s">
        <v>643</v>
      </c>
      <c r="B52" s="18" t="s">
        <v>193</v>
      </c>
      <c r="C52" s="33" t="s">
        <v>190</v>
      </c>
      <c r="D52" s="136" t="s">
        <v>338</v>
      </c>
      <c r="E52" s="18" t="s">
        <v>22</v>
      </c>
      <c r="F52" s="18" t="s">
        <v>189</v>
      </c>
      <c r="G52" s="18" t="s">
        <v>22</v>
      </c>
      <c r="H52" s="18" t="s">
        <v>22</v>
      </c>
      <c r="I52" s="18" t="s">
        <v>339</v>
      </c>
      <c r="J52" s="20">
        <v>44030</v>
      </c>
      <c r="K52" s="21"/>
      <c r="L52" s="18"/>
      <c r="M52" s="17" t="s">
        <v>644</v>
      </c>
      <c r="O52" s="18" t="s">
        <v>341</v>
      </c>
      <c r="R52" s="18" t="s">
        <v>645</v>
      </c>
      <c r="S52" s="18" t="s">
        <v>27</v>
      </c>
      <c r="T52" s="17" t="s">
        <v>646</v>
      </c>
      <c r="V52" s="18" t="s">
        <v>647</v>
      </c>
      <c r="W52" s="18" t="s">
        <v>345</v>
      </c>
      <c r="X52" s="17" t="s">
        <v>648</v>
      </c>
      <c r="Y52" s="18" t="s">
        <v>113</v>
      </c>
      <c r="Z52" s="18" t="s">
        <v>649</v>
      </c>
      <c r="AA52" s="18" t="s">
        <v>111</v>
      </c>
      <c r="AB52" s="22" t="s">
        <v>114</v>
      </c>
      <c r="AC52" s="22" t="s">
        <v>348</v>
      </c>
      <c r="AD52" s="13"/>
      <c r="AE52" s="24">
        <v>48894</v>
      </c>
      <c r="AF52" s="25">
        <v>31014</v>
      </c>
      <c r="AH52" s="26">
        <v>41</v>
      </c>
      <c r="AI52" s="18" t="s">
        <v>347</v>
      </c>
      <c r="AL52" s="20">
        <v>45464</v>
      </c>
      <c r="AM52" s="20">
        <v>45463</v>
      </c>
      <c r="AN52" s="18" t="s">
        <v>357</v>
      </c>
      <c r="AO52" s="23" t="s">
        <v>347</v>
      </c>
      <c r="AP52" s="23" t="s">
        <v>348</v>
      </c>
      <c r="AQ52" s="27">
        <v>45464</v>
      </c>
      <c r="AR52" s="27">
        <v>45463</v>
      </c>
      <c r="AS52" s="23" t="s">
        <v>357</v>
      </c>
      <c r="AT52" s="23" t="s">
        <v>31</v>
      </c>
      <c r="AU52" s="23" t="s">
        <v>389</v>
      </c>
      <c r="AV52" s="23" t="s">
        <v>350</v>
      </c>
      <c r="AW52" s="28">
        <v>45556</v>
      </c>
      <c r="AX52" s="29">
        <v>1</v>
      </c>
      <c r="BL52" s="13" t="s">
        <v>266</v>
      </c>
      <c r="BM52" s="13" t="s">
        <v>266</v>
      </c>
      <c r="BN52" s="13" t="s">
        <v>266</v>
      </c>
      <c r="BO52" s="13" t="s">
        <v>266</v>
      </c>
      <c r="BP52" s="13" t="s">
        <v>266</v>
      </c>
      <c r="BQ52" s="13" t="s">
        <v>266</v>
      </c>
      <c r="BR52" s="13" t="s">
        <v>266</v>
      </c>
      <c r="BS52" s="13" t="s">
        <v>266</v>
      </c>
      <c r="BT52" s="13" t="s">
        <v>266</v>
      </c>
      <c r="BU52" s="13" t="s">
        <v>266</v>
      </c>
      <c r="BV52" s="13" t="s">
        <v>266</v>
      </c>
      <c r="BW52" s="13" t="s">
        <v>266</v>
      </c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1"/>
    </row>
    <row r="53" s="2" customFormat="1" customHeight="1" spans="1:86">
      <c r="A53" s="17" t="s">
        <v>650</v>
      </c>
      <c r="B53" s="18" t="s">
        <v>199</v>
      </c>
      <c r="C53" s="33" t="s">
        <v>190</v>
      </c>
      <c r="D53" s="136" t="s">
        <v>338</v>
      </c>
      <c r="E53" s="18" t="s">
        <v>22</v>
      </c>
      <c r="F53" s="18" t="s">
        <v>200</v>
      </c>
      <c r="G53" s="18" t="s">
        <v>22</v>
      </c>
      <c r="H53" s="18" t="s">
        <v>22</v>
      </c>
      <c r="I53" s="18" t="s">
        <v>339</v>
      </c>
      <c r="J53" s="20">
        <v>46114</v>
      </c>
      <c r="K53" s="21"/>
      <c r="L53" s="18"/>
      <c r="M53" s="17"/>
      <c r="O53" s="18" t="s">
        <v>341</v>
      </c>
      <c r="R53" s="18" t="s">
        <v>651</v>
      </c>
      <c r="S53" s="18" t="s">
        <v>27</v>
      </c>
      <c r="T53" s="17"/>
      <c r="V53" s="18"/>
      <c r="W53" s="18" t="s">
        <v>355</v>
      </c>
      <c r="X53" s="17"/>
      <c r="Y53" s="18" t="s">
        <v>34</v>
      </c>
      <c r="Z53" s="18" t="s">
        <v>202</v>
      </c>
      <c r="AA53" s="18" t="s">
        <v>201</v>
      </c>
      <c r="AB53" s="18" t="s">
        <v>34</v>
      </c>
      <c r="AC53" s="22"/>
      <c r="AD53" s="13"/>
      <c r="AE53" s="24">
        <v>46303</v>
      </c>
      <c r="AF53" s="25">
        <v>36772</v>
      </c>
      <c r="AH53" s="26">
        <v>25</v>
      </c>
      <c r="AI53" s="18" t="s">
        <v>347</v>
      </c>
      <c r="AL53" s="20"/>
      <c r="AM53" s="20"/>
      <c r="AN53" s="18"/>
      <c r="AO53" s="23" t="s">
        <v>347</v>
      </c>
      <c r="AP53" s="23"/>
      <c r="AQ53" s="27"/>
      <c r="AR53" s="27"/>
      <c r="AS53" s="23"/>
      <c r="AT53" s="23" t="s">
        <v>652</v>
      </c>
      <c r="AU53" s="23" t="s">
        <v>435</v>
      </c>
      <c r="AV53" s="23"/>
      <c r="AW53" s="28"/>
      <c r="AX53" s="29"/>
      <c r="BL53" s="13"/>
      <c r="BM53" s="13"/>
      <c r="BN53" s="13"/>
      <c r="BO53" s="13" t="s">
        <v>269</v>
      </c>
      <c r="BP53" s="13" t="s">
        <v>266</v>
      </c>
      <c r="BQ53" s="13" t="s">
        <v>266</v>
      </c>
      <c r="BR53" s="13" t="s">
        <v>266</v>
      </c>
      <c r="BS53" s="13" t="s">
        <v>266</v>
      </c>
      <c r="BT53" s="13" t="s">
        <v>266</v>
      </c>
      <c r="BU53" s="13" t="s">
        <v>266</v>
      </c>
      <c r="BV53" s="13" t="s">
        <v>266</v>
      </c>
      <c r="BW53" s="13" t="s">
        <v>266</v>
      </c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1"/>
    </row>
    <row r="54" s="2" customFormat="1" customHeight="1" spans="1:86">
      <c r="A54" s="17" t="s">
        <v>653</v>
      </c>
      <c r="B54" s="18" t="s">
        <v>203</v>
      </c>
      <c r="C54" s="33" t="s">
        <v>190</v>
      </c>
      <c r="D54" s="136" t="s">
        <v>338</v>
      </c>
      <c r="E54" s="18" t="s">
        <v>22</v>
      </c>
      <c r="F54" s="18" t="s">
        <v>204</v>
      </c>
      <c r="G54" s="18" t="s">
        <v>22</v>
      </c>
      <c r="H54" s="18" t="s">
        <v>22</v>
      </c>
      <c r="I54" s="18" t="s">
        <v>339</v>
      </c>
      <c r="J54" s="20">
        <v>46114</v>
      </c>
      <c r="K54" s="21"/>
      <c r="L54" s="18"/>
      <c r="M54" s="17"/>
      <c r="O54" s="18" t="s">
        <v>341</v>
      </c>
      <c r="R54" s="18"/>
      <c r="S54" s="18" t="s">
        <v>27</v>
      </c>
      <c r="T54" s="17"/>
      <c r="V54" s="18"/>
      <c r="W54" s="18"/>
      <c r="X54" s="17"/>
      <c r="Y54" s="18"/>
      <c r="Z54" s="18"/>
      <c r="AA54" s="18"/>
      <c r="AB54" s="18"/>
      <c r="AC54" s="22"/>
      <c r="AD54" s="13"/>
      <c r="AE54" s="24"/>
      <c r="AF54" s="25">
        <v>35237</v>
      </c>
      <c r="AH54" s="26"/>
      <c r="AI54" s="18"/>
      <c r="AL54" s="20"/>
      <c r="AM54" s="20"/>
      <c r="AN54" s="18"/>
      <c r="AO54" s="23"/>
      <c r="AP54" s="23"/>
      <c r="AQ54" s="27"/>
      <c r="AR54" s="27"/>
      <c r="AS54" s="23"/>
      <c r="AT54" s="23"/>
      <c r="AU54" s="23"/>
      <c r="AV54" s="23"/>
      <c r="AW54" s="28"/>
      <c r="AX54" s="29"/>
      <c r="BL54" s="13"/>
      <c r="BM54" s="13"/>
      <c r="BN54" s="13"/>
      <c r="BO54" s="13" t="s">
        <v>269</v>
      </c>
      <c r="BP54" s="13" t="s">
        <v>266</v>
      </c>
      <c r="BQ54" s="13" t="s">
        <v>266</v>
      </c>
      <c r="BR54" s="13" t="s">
        <v>266</v>
      </c>
      <c r="BS54" s="13" t="s">
        <v>266</v>
      </c>
      <c r="BT54" s="13" t="s">
        <v>266</v>
      </c>
      <c r="BU54" s="13" t="s">
        <v>266</v>
      </c>
      <c r="BV54" s="13" t="s">
        <v>266</v>
      </c>
      <c r="BW54" s="13" t="s">
        <v>266</v>
      </c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1"/>
    </row>
    <row r="55" s="2" customFormat="1" customHeight="1" spans="1:86">
      <c r="A55" s="17" t="s">
        <v>654</v>
      </c>
      <c r="B55" s="18" t="s">
        <v>207</v>
      </c>
      <c r="C55" s="33" t="s">
        <v>190</v>
      </c>
      <c r="D55" s="136" t="s">
        <v>338</v>
      </c>
      <c r="E55" s="18" t="s">
        <v>22</v>
      </c>
      <c r="F55" s="18" t="s">
        <v>204</v>
      </c>
      <c r="G55" s="18" t="s">
        <v>22</v>
      </c>
      <c r="H55" s="18" t="s">
        <v>22</v>
      </c>
      <c r="I55" s="18" t="s">
        <v>339</v>
      </c>
      <c r="J55" s="20">
        <v>44030</v>
      </c>
      <c r="K55" s="21"/>
      <c r="L55" s="18"/>
      <c r="M55" s="17" t="s">
        <v>655</v>
      </c>
      <c r="O55" s="18" t="s">
        <v>378</v>
      </c>
      <c r="R55" s="18" t="s">
        <v>656</v>
      </c>
      <c r="S55" s="18" t="s">
        <v>27</v>
      </c>
      <c r="T55" s="17" t="s">
        <v>657</v>
      </c>
      <c r="V55" s="18" t="s">
        <v>658</v>
      </c>
      <c r="W55" s="18" t="s">
        <v>355</v>
      </c>
      <c r="X55" s="17" t="s">
        <v>659</v>
      </c>
      <c r="Y55" s="18" t="s">
        <v>55</v>
      </c>
      <c r="Z55" s="18" t="s">
        <v>209</v>
      </c>
      <c r="AA55" s="18" t="s">
        <v>208</v>
      </c>
      <c r="AB55" s="18" t="s">
        <v>55</v>
      </c>
      <c r="AC55" s="22" t="s">
        <v>348</v>
      </c>
      <c r="AD55" s="23"/>
      <c r="AE55" s="24">
        <v>51387</v>
      </c>
      <c r="AF55" s="25">
        <v>34353</v>
      </c>
      <c r="AH55" s="26">
        <v>32</v>
      </c>
      <c r="AI55" s="18" t="s">
        <v>347</v>
      </c>
      <c r="AL55" s="20">
        <v>44030</v>
      </c>
      <c r="AM55" s="20">
        <v>44029</v>
      </c>
      <c r="AN55" s="18" t="s">
        <v>357</v>
      </c>
      <c r="AO55" s="23" t="s">
        <v>347</v>
      </c>
      <c r="AP55" s="23" t="s">
        <v>348</v>
      </c>
      <c r="AQ55" s="27">
        <v>44030</v>
      </c>
      <c r="AR55" s="27">
        <v>44029</v>
      </c>
      <c r="AS55" s="23" t="s">
        <v>357</v>
      </c>
      <c r="AT55" s="23" t="s">
        <v>31</v>
      </c>
      <c r="AU55" s="23" t="s">
        <v>538</v>
      </c>
      <c r="AV55" s="23" t="s">
        <v>350</v>
      </c>
      <c r="AW55" s="28">
        <v>44122</v>
      </c>
      <c r="AX55" s="29">
        <v>5</v>
      </c>
      <c r="BL55" s="13" t="s">
        <v>266</v>
      </c>
      <c r="BM55" s="13" t="s">
        <v>266</v>
      </c>
      <c r="BN55" s="13" t="s">
        <v>266</v>
      </c>
      <c r="BO55" s="13" t="s">
        <v>266</v>
      </c>
      <c r="BP55" s="13" t="s">
        <v>266</v>
      </c>
      <c r="BQ55" s="13" t="s">
        <v>266</v>
      </c>
      <c r="BR55" s="13" t="s">
        <v>266</v>
      </c>
      <c r="BS55" s="13" t="s">
        <v>266</v>
      </c>
      <c r="BT55" s="13" t="s">
        <v>266</v>
      </c>
      <c r="BU55" s="13" t="s">
        <v>266</v>
      </c>
      <c r="BV55" s="13" t="s">
        <v>266</v>
      </c>
      <c r="BW55" s="13" t="s">
        <v>266</v>
      </c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1"/>
    </row>
    <row r="56" s="2" customFormat="1" customHeight="1" spans="1:86">
      <c r="A56" s="17" t="s">
        <v>660</v>
      </c>
      <c r="B56" s="18" t="s">
        <v>210</v>
      </c>
      <c r="C56" s="33" t="s">
        <v>190</v>
      </c>
      <c r="D56" s="136" t="s">
        <v>338</v>
      </c>
      <c r="E56" s="18" t="s">
        <v>22</v>
      </c>
      <c r="F56" s="18" t="s">
        <v>211</v>
      </c>
      <c r="G56" s="18" t="s">
        <v>22</v>
      </c>
      <c r="H56" s="18" t="s">
        <v>22</v>
      </c>
      <c r="I56" s="18" t="s">
        <v>339</v>
      </c>
      <c r="J56" s="20">
        <v>45933</v>
      </c>
      <c r="K56" s="21"/>
      <c r="L56" s="18"/>
      <c r="M56" s="17" t="s">
        <v>661</v>
      </c>
      <c r="O56" s="18" t="s">
        <v>378</v>
      </c>
      <c r="R56" s="18" t="s">
        <v>662</v>
      </c>
      <c r="S56" s="18" t="s">
        <v>27</v>
      </c>
      <c r="T56" s="17" t="s">
        <v>663</v>
      </c>
      <c r="V56" s="18" t="s">
        <v>664</v>
      </c>
      <c r="W56" s="18" t="s">
        <v>345</v>
      </c>
      <c r="X56" s="17" t="s">
        <v>665</v>
      </c>
      <c r="Y56" s="18" t="s">
        <v>26</v>
      </c>
      <c r="Z56" s="18" t="s">
        <v>25</v>
      </c>
      <c r="AA56" s="18" t="s">
        <v>212</v>
      </c>
      <c r="AB56" s="18" t="s">
        <v>26</v>
      </c>
      <c r="AC56" s="22" t="s">
        <v>356</v>
      </c>
      <c r="AD56" s="13"/>
      <c r="AE56" s="24">
        <v>46197</v>
      </c>
      <c r="AF56" s="25">
        <v>28671</v>
      </c>
      <c r="AH56" s="26">
        <v>47</v>
      </c>
      <c r="AI56" s="18" t="s">
        <v>347</v>
      </c>
      <c r="AL56" s="20">
        <v>45917</v>
      </c>
      <c r="AM56" s="20">
        <v>45916</v>
      </c>
      <c r="AN56" s="18" t="s">
        <v>357</v>
      </c>
      <c r="AO56" s="23" t="s">
        <v>347</v>
      </c>
      <c r="AP56" s="23" t="s">
        <v>348</v>
      </c>
      <c r="AQ56" s="27">
        <v>45917</v>
      </c>
      <c r="AR56" s="27">
        <v>45916</v>
      </c>
      <c r="AS56" s="23" t="s">
        <v>357</v>
      </c>
      <c r="AT56" s="23" t="s">
        <v>23</v>
      </c>
      <c r="AU56" s="23" t="s">
        <v>364</v>
      </c>
      <c r="AV56" s="23" t="s">
        <v>350</v>
      </c>
      <c r="AW56" s="28">
        <v>46008</v>
      </c>
      <c r="AX56" s="29">
        <v>0</v>
      </c>
      <c r="BL56" s="13" t="s">
        <v>266</v>
      </c>
      <c r="BM56" s="13" t="s">
        <v>266</v>
      </c>
      <c r="BN56" s="13" t="s">
        <v>266</v>
      </c>
      <c r="BO56" s="13" t="s">
        <v>266</v>
      </c>
      <c r="BP56" s="13" t="s">
        <v>266</v>
      </c>
      <c r="BQ56" s="13" t="s">
        <v>266</v>
      </c>
      <c r="BR56" s="13" t="s">
        <v>266</v>
      </c>
      <c r="BS56" s="13" t="s">
        <v>266</v>
      </c>
      <c r="BT56" s="13" t="s">
        <v>266</v>
      </c>
      <c r="BU56" s="13" t="s">
        <v>266</v>
      </c>
      <c r="BV56" s="13" t="s">
        <v>266</v>
      </c>
      <c r="BW56" s="13" t="s">
        <v>266</v>
      </c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1"/>
    </row>
    <row r="57" s="2" customFormat="1" customHeight="1" spans="1:86">
      <c r="A57" s="17" t="s">
        <v>666</v>
      </c>
      <c r="B57" s="18" t="s">
        <v>188</v>
      </c>
      <c r="C57" s="33" t="s">
        <v>190</v>
      </c>
      <c r="D57" s="136" t="s">
        <v>338</v>
      </c>
      <c r="E57" s="18" t="s">
        <v>22</v>
      </c>
      <c r="F57" s="18" t="s">
        <v>189</v>
      </c>
      <c r="G57" s="18" t="s">
        <v>22</v>
      </c>
      <c r="H57" s="18" t="s">
        <v>22</v>
      </c>
      <c r="I57" s="18" t="s">
        <v>339</v>
      </c>
      <c r="J57" s="20">
        <v>44678</v>
      </c>
      <c r="K57" s="43"/>
      <c r="L57" s="43"/>
      <c r="M57" s="17"/>
      <c r="O57" s="43"/>
      <c r="R57" s="18" t="s">
        <v>667</v>
      </c>
      <c r="S57" s="18" t="s">
        <v>27</v>
      </c>
      <c r="T57" s="17" t="s">
        <v>668</v>
      </c>
      <c r="V57" s="18" t="s">
        <v>669</v>
      </c>
      <c r="W57" s="18" t="s">
        <v>345</v>
      </c>
      <c r="X57" s="17" t="s">
        <v>670</v>
      </c>
      <c r="Y57" s="18" t="s">
        <v>34</v>
      </c>
      <c r="Z57" s="18" t="s">
        <v>192</v>
      </c>
      <c r="AA57" s="18" t="s">
        <v>191</v>
      </c>
      <c r="AB57" s="18" t="s">
        <v>34</v>
      </c>
      <c r="AC57" s="22" t="s">
        <v>348</v>
      </c>
      <c r="AD57" s="13"/>
      <c r="AE57" s="24">
        <v>49561</v>
      </c>
      <c r="AF57" s="25">
        <v>32531</v>
      </c>
      <c r="AH57" s="26">
        <v>37</v>
      </c>
      <c r="AI57" s="18" t="s">
        <v>347</v>
      </c>
      <c r="AL57" s="20">
        <v>44678</v>
      </c>
      <c r="AM57" s="20">
        <v>44677</v>
      </c>
      <c r="AN57" s="18" t="s">
        <v>357</v>
      </c>
      <c r="AO57" s="23" t="s">
        <v>347</v>
      </c>
      <c r="AP57" s="23" t="s">
        <v>348</v>
      </c>
      <c r="AQ57" s="27">
        <v>44678</v>
      </c>
      <c r="AR57" s="27">
        <v>44677</v>
      </c>
      <c r="AS57" s="23" t="s">
        <v>357</v>
      </c>
      <c r="AT57" s="23" t="s">
        <v>31</v>
      </c>
      <c r="AU57" s="23" t="s">
        <v>358</v>
      </c>
      <c r="AV57" s="23" t="s">
        <v>350</v>
      </c>
      <c r="AW57" s="28">
        <v>44769</v>
      </c>
      <c r="AX57" s="29">
        <v>3</v>
      </c>
      <c r="BL57" s="13" t="s">
        <v>266</v>
      </c>
      <c r="BM57" s="13" t="s">
        <v>266</v>
      </c>
      <c r="BN57" s="13" t="s">
        <v>266</v>
      </c>
      <c r="BO57" s="13" t="s">
        <v>266</v>
      </c>
      <c r="BP57" s="13" t="s">
        <v>266</v>
      </c>
      <c r="BQ57" s="13" t="s">
        <v>266</v>
      </c>
      <c r="BR57" s="13" t="s">
        <v>266</v>
      </c>
      <c r="BS57" s="13" t="s">
        <v>266</v>
      </c>
      <c r="BT57" s="13" t="s">
        <v>266</v>
      </c>
      <c r="BU57" s="13" t="s">
        <v>266</v>
      </c>
      <c r="BV57" s="13" t="s">
        <v>266</v>
      </c>
      <c r="BW57" s="13" t="s">
        <v>266</v>
      </c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1"/>
    </row>
    <row r="58" s="2" customFormat="1" customHeight="1" spans="1:86">
      <c r="A58" s="17" t="s">
        <v>671</v>
      </c>
      <c r="B58" s="18" t="s">
        <v>195</v>
      </c>
      <c r="C58" s="33" t="s">
        <v>190</v>
      </c>
      <c r="D58" s="136" t="s">
        <v>338</v>
      </c>
      <c r="E58" s="18" t="s">
        <v>22</v>
      </c>
      <c r="F58" s="18" t="s">
        <v>196</v>
      </c>
      <c r="G58" s="18" t="s">
        <v>22</v>
      </c>
      <c r="H58" s="18" t="s">
        <v>482</v>
      </c>
      <c r="I58" s="18" t="s">
        <v>339</v>
      </c>
      <c r="J58" s="20">
        <v>44139</v>
      </c>
      <c r="K58" s="43"/>
      <c r="L58" s="43"/>
      <c r="M58" s="17" t="s">
        <v>672</v>
      </c>
      <c r="O58" s="43"/>
      <c r="R58" s="18" t="s">
        <v>673</v>
      </c>
      <c r="S58" s="18" t="s">
        <v>27</v>
      </c>
      <c r="T58" s="17" t="s">
        <v>674</v>
      </c>
      <c r="V58" s="18" t="s">
        <v>675</v>
      </c>
      <c r="W58" s="18" t="s">
        <v>355</v>
      </c>
      <c r="X58" s="17" t="s">
        <v>676</v>
      </c>
      <c r="Y58" s="18" t="s">
        <v>128</v>
      </c>
      <c r="Z58" s="18" t="s">
        <v>25</v>
      </c>
      <c r="AA58" s="18" t="s">
        <v>197</v>
      </c>
      <c r="AB58" s="18" t="s">
        <v>128</v>
      </c>
      <c r="AC58" s="22" t="s">
        <v>456</v>
      </c>
      <c r="AD58" s="13"/>
      <c r="AE58" s="24">
        <v>46816</v>
      </c>
      <c r="AF58" s="25">
        <v>29933</v>
      </c>
      <c r="AH58" s="26">
        <v>44</v>
      </c>
      <c r="AI58" s="18" t="s">
        <v>347</v>
      </c>
      <c r="AL58" s="20">
        <v>44139</v>
      </c>
      <c r="AM58" s="20">
        <v>44138</v>
      </c>
      <c r="AN58" s="18" t="s">
        <v>357</v>
      </c>
      <c r="AO58" s="23" t="s">
        <v>347</v>
      </c>
      <c r="AP58" s="23" t="s">
        <v>348</v>
      </c>
      <c r="AQ58" s="27">
        <v>44139</v>
      </c>
      <c r="AR58" s="27">
        <v>44138</v>
      </c>
      <c r="AS58" s="23" t="s">
        <v>357</v>
      </c>
      <c r="AT58" s="23" t="s">
        <v>677</v>
      </c>
      <c r="AU58" s="23" t="s">
        <v>538</v>
      </c>
      <c r="AV58" s="23" t="s">
        <v>350</v>
      </c>
      <c r="AW58" s="28">
        <v>44231</v>
      </c>
      <c r="AX58" s="29">
        <v>5</v>
      </c>
      <c r="BL58" s="13" t="s">
        <v>266</v>
      </c>
      <c r="BM58" s="13" t="s">
        <v>266</v>
      </c>
      <c r="BN58" s="13" t="s">
        <v>266</v>
      </c>
      <c r="BO58" s="13" t="s">
        <v>266</v>
      </c>
      <c r="BP58" s="13" t="s">
        <v>266</v>
      </c>
      <c r="BQ58" s="13" t="s">
        <v>266</v>
      </c>
      <c r="BR58" s="13" t="s">
        <v>268</v>
      </c>
      <c r="BS58" s="13"/>
      <c r="BT58" s="13"/>
      <c r="BU58" s="13"/>
      <c r="BV58" s="13"/>
      <c r="BW58" s="13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1"/>
    </row>
    <row r="59" s="2" customFormat="1" customHeight="1" spans="1:86">
      <c r="A59" s="43"/>
      <c r="B59" s="22" t="s">
        <v>678</v>
      </c>
      <c r="C59" s="33" t="s">
        <v>679</v>
      </c>
      <c r="D59" s="136" t="s">
        <v>338</v>
      </c>
      <c r="E59" s="22" t="s">
        <v>22</v>
      </c>
      <c r="F59" s="22" t="s">
        <v>680</v>
      </c>
      <c r="G59" s="18" t="s">
        <v>22</v>
      </c>
      <c r="H59" s="18" t="s">
        <v>22</v>
      </c>
      <c r="I59" s="18" t="s">
        <v>339</v>
      </c>
      <c r="J59" s="22"/>
      <c r="K59" s="43"/>
      <c r="L59" s="43"/>
      <c r="M59" s="43"/>
      <c r="O59" s="43"/>
      <c r="R59" s="22"/>
      <c r="S59" s="18" t="s">
        <v>27</v>
      </c>
      <c r="T59" s="43"/>
      <c r="V59" s="22"/>
      <c r="W59" s="22"/>
      <c r="X59" s="43"/>
      <c r="Y59" s="22" t="s">
        <v>113</v>
      </c>
      <c r="Z59" s="22"/>
      <c r="AA59" s="18" t="s">
        <v>681</v>
      </c>
      <c r="AB59" s="22" t="s">
        <v>219</v>
      </c>
      <c r="AC59" s="22" t="s">
        <v>348</v>
      </c>
      <c r="AD59" s="13"/>
      <c r="AE59" s="25">
        <v>44139</v>
      </c>
      <c r="AH59" s="26">
        <v>29</v>
      </c>
      <c r="AI59" s="22"/>
      <c r="AL59" s="22"/>
      <c r="AM59" s="22"/>
      <c r="AN59" s="22"/>
      <c r="AO59" s="23"/>
      <c r="AP59" s="23"/>
      <c r="AQ59" s="27"/>
      <c r="AR59" s="27"/>
      <c r="AS59" s="23"/>
      <c r="AT59" s="23"/>
      <c r="AU59" s="23"/>
      <c r="AV59" s="23"/>
      <c r="AW59" s="28"/>
      <c r="AX59" s="29"/>
      <c r="BL59" s="13"/>
      <c r="BM59" s="13"/>
      <c r="BN59" s="13"/>
      <c r="BO59" s="13" t="s">
        <v>269</v>
      </c>
      <c r="BP59" s="44" t="s">
        <v>266</v>
      </c>
      <c r="BQ59" s="44" t="s">
        <v>266</v>
      </c>
      <c r="BR59" s="44" t="s">
        <v>266</v>
      </c>
      <c r="BS59" s="44" t="s">
        <v>266</v>
      </c>
      <c r="BT59" s="44" t="s">
        <v>266</v>
      </c>
      <c r="BU59" s="44" t="s">
        <v>266</v>
      </c>
      <c r="BV59" s="44" t="s">
        <v>266</v>
      </c>
      <c r="BW59" s="44" t="s">
        <v>266</v>
      </c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1"/>
    </row>
    <row r="60" s="2" customFormat="1" customHeight="1" spans="1:86">
      <c r="A60" s="43"/>
      <c r="B60" s="22" t="s">
        <v>678</v>
      </c>
      <c r="C60" s="33" t="s">
        <v>190</v>
      </c>
      <c r="D60" s="136" t="s">
        <v>338</v>
      </c>
      <c r="E60" s="22" t="s">
        <v>22</v>
      </c>
      <c r="F60" s="22" t="s">
        <v>682</v>
      </c>
      <c r="G60" s="18" t="s">
        <v>22</v>
      </c>
      <c r="H60" s="18" t="s">
        <v>22</v>
      </c>
      <c r="I60" s="18" t="s">
        <v>339</v>
      </c>
      <c r="J60" s="22"/>
      <c r="K60" s="43"/>
      <c r="L60" s="43"/>
      <c r="M60" s="43"/>
      <c r="O60" s="43"/>
      <c r="R60" s="22"/>
      <c r="S60" s="18" t="s">
        <v>27</v>
      </c>
      <c r="T60" s="43"/>
      <c r="V60" s="22"/>
      <c r="W60" s="22"/>
      <c r="X60" s="43"/>
      <c r="Y60" s="18" t="s">
        <v>683</v>
      </c>
      <c r="Z60" s="22"/>
      <c r="AA60" s="18"/>
      <c r="AB60" s="18" t="s">
        <v>683</v>
      </c>
      <c r="AC60" s="22" t="s">
        <v>348</v>
      </c>
      <c r="AD60" s="13" t="s">
        <v>629</v>
      </c>
      <c r="AH60" s="26">
        <v>35</v>
      </c>
      <c r="AI60" s="22"/>
      <c r="AL60" s="22"/>
      <c r="AM60" s="22"/>
      <c r="AN60" s="22"/>
      <c r="BL60" s="13"/>
      <c r="BM60" s="13"/>
      <c r="BN60" s="13"/>
      <c r="BO60" s="13"/>
      <c r="BP60" s="13" t="s">
        <v>269</v>
      </c>
      <c r="BQ60" s="44" t="s">
        <v>266</v>
      </c>
      <c r="BR60" s="44" t="s">
        <v>266</v>
      </c>
      <c r="BS60" s="44" t="s">
        <v>266</v>
      </c>
      <c r="BT60" s="44" t="s">
        <v>266</v>
      </c>
      <c r="BU60" s="44" t="s">
        <v>266</v>
      </c>
      <c r="BV60" s="44" t="s">
        <v>266</v>
      </c>
      <c r="BW60" s="44" t="s">
        <v>266</v>
      </c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1"/>
    </row>
    <row r="61" s="2" customFormat="1" customHeight="1" spans="1:86">
      <c r="A61" s="43"/>
      <c r="B61" s="22" t="s">
        <v>678</v>
      </c>
      <c r="C61" s="33" t="s">
        <v>190</v>
      </c>
      <c r="D61" s="136" t="s">
        <v>338</v>
      </c>
      <c r="E61" s="22" t="s">
        <v>22</v>
      </c>
      <c r="F61" s="22" t="s">
        <v>684</v>
      </c>
      <c r="G61" s="18" t="s">
        <v>22</v>
      </c>
      <c r="H61" s="18" t="s">
        <v>22</v>
      </c>
      <c r="I61" s="18" t="s">
        <v>339</v>
      </c>
      <c r="J61" s="22"/>
      <c r="K61" s="43"/>
      <c r="L61" s="43"/>
      <c r="M61" s="43"/>
      <c r="O61" s="43"/>
      <c r="R61" s="22"/>
      <c r="S61" s="18" t="s">
        <v>27</v>
      </c>
      <c r="T61" s="43"/>
      <c r="V61" s="22"/>
      <c r="W61" s="22"/>
      <c r="X61" s="43"/>
      <c r="Y61" s="18" t="s">
        <v>683</v>
      </c>
      <c r="Z61" s="22"/>
      <c r="AA61" s="18"/>
      <c r="AB61" s="18" t="s">
        <v>683</v>
      </c>
      <c r="AC61" s="22" t="s">
        <v>348</v>
      </c>
      <c r="AD61" s="13"/>
      <c r="AH61" s="26"/>
      <c r="AI61" s="22"/>
      <c r="AL61" s="22"/>
      <c r="AM61" s="22"/>
      <c r="AN61" s="22"/>
      <c r="BL61" s="13"/>
      <c r="BM61" s="13"/>
      <c r="BN61" s="13"/>
      <c r="BO61" s="13"/>
      <c r="BP61" s="13" t="s">
        <v>269</v>
      </c>
      <c r="BQ61" s="44" t="s">
        <v>266</v>
      </c>
      <c r="BR61" s="44" t="s">
        <v>266</v>
      </c>
      <c r="BS61" s="44" t="s">
        <v>266</v>
      </c>
      <c r="BT61" s="44" t="s">
        <v>266</v>
      </c>
      <c r="BU61" s="44" t="s">
        <v>266</v>
      </c>
      <c r="BV61" s="44" t="s">
        <v>266</v>
      </c>
      <c r="BW61" s="44" t="s">
        <v>266</v>
      </c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1"/>
    </row>
    <row r="62" s="2" customFormat="1" customHeight="1" spans="1:86">
      <c r="A62" s="43"/>
      <c r="B62" s="22" t="s">
        <v>678</v>
      </c>
      <c r="C62" s="33" t="s">
        <v>190</v>
      </c>
      <c r="D62" s="136" t="s">
        <v>338</v>
      </c>
      <c r="E62" s="22" t="s">
        <v>22</v>
      </c>
      <c r="F62" s="22" t="s">
        <v>685</v>
      </c>
      <c r="G62" s="18" t="s">
        <v>22</v>
      </c>
      <c r="H62" s="18" t="s">
        <v>22</v>
      </c>
      <c r="I62" s="18" t="s">
        <v>339</v>
      </c>
      <c r="J62" s="22"/>
      <c r="K62" s="43"/>
      <c r="L62" s="43"/>
      <c r="M62" s="43"/>
      <c r="O62" s="43"/>
      <c r="R62" s="22"/>
      <c r="S62" s="18" t="s">
        <v>27</v>
      </c>
      <c r="T62" s="43"/>
      <c r="V62" s="22"/>
      <c r="W62" s="22"/>
      <c r="X62" s="43"/>
      <c r="Y62" s="18" t="s">
        <v>683</v>
      </c>
      <c r="Z62" s="22"/>
      <c r="AA62" s="18"/>
      <c r="AB62" s="18" t="s">
        <v>683</v>
      </c>
      <c r="AC62" s="22" t="s">
        <v>348</v>
      </c>
      <c r="AD62" s="13" t="s">
        <v>629</v>
      </c>
      <c r="AH62" s="26">
        <v>25</v>
      </c>
      <c r="AI62" s="22"/>
      <c r="AL62" s="22"/>
      <c r="AM62" s="22"/>
      <c r="AN62" s="22"/>
      <c r="BL62" s="13"/>
      <c r="BM62" s="13"/>
      <c r="BN62" s="13"/>
      <c r="BO62" s="13"/>
      <c r="BP62" s="13" t="s">
        <v>269</v>
      </c>
      <c r="BQ62" s="44" t="s">
        <v>266</v>
      </c>
      <c r="BR62" s="44" t="s">
        <v>266</v>
      </c>
      <c r="BS62" s="44" t="s">
        <v>266</v>
      </c>
      <c r="BT62" s="44" t="s">
        <v>266</v>
      </c>
      <c r="BU62" s="44" t="s">
        <v>266</v>
      </c>
      <c r="BV62" s="44" t="s">
        <v>266</v>
      </c>
      <c r="BW62" s="44" t="s">
        <v>266</v>
      </c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1"/>
    </row>
    <row r="63" s="2" customFormat="1" customHeight="1" spans="1:86">
      <c r="A63" s="43"/>
      <c r="B63" s="22" t="s">
        <v>678</v>
      </c>
      <c r="C63" s="33" t="s">
        <v>190</v>
      </c>
      <c r="D63" s="136" t="s">
        <v>338</v>
      </c>
      <c r="E63" s="22" t="s">
        <v>22</v>
      </c>
      <c r="F63" s="22" t="s">
        <v>685</v>
      </c>
      <c r="G63" s="18" t="s">
        <v>22</v>
      </c>
      <c r="H63" s="18" t="s">
        <v>22</v>
      </c>
      <c r="I63" s="18" t="s">
        <v>339</v>
      </c>
      <c r="J63" s="22"/>
      <c r="K63" s="43"/>
      <c r="L63" s="43"/>
      <c r="M63" s="43"/>
      <c r="O63" s="43"/>
      <c r="R63" s="22"/>
      <c r="S63" s="18" t="s">
        <v>27</v>
      </c>
      <c r="T63" s="43"/>
      <c r="V63" s="22"/>
      <c r="W63" s="22"/>
      <c r="X63" s="43"/>
      <c r="Y63" s="18" t="s">
        <v>683</v>
      </c>
      <c r="Z63" s="22"/>
      <c r="AA63" s="18"/>
      <c r="AB63" s="18" t="s">
        <v>683</v>
      </c>
      <c r="AC63" s="22" t="s">
        <v>348</v>
      </c>
      <c r="AD63" s="13" t="s">
        <v>629</v>
      </c>
      <c r="AH63" s="26">
        <v>25</v>
      </c>
      <c r="AI63" s="22"/>
      <c r="AL63" s="22"/>
      <c r="AM63" s="22"/>
      <c r="AN63" s="22"/>
      <c r="BL63" s="13"/>
      <c r="BM63" s="13"/>
      <c r="BN63" s="13"/>
      <c r="BO63" s="13"/>
      <c r="BP63" s="13" t="s">
        <v>269</v>
      </c>
      <c r="BQ63" s="13" t="s">
        <v>266</v>
      </c>
      <c r="BR63" s="13" t="s">
        <v>266</v>
      </c>
      <c r="BS63" s="13" t="s">
        <v>266</v>
      </c>
      <c r="BT63" s="13" t="s">
        <v>266</v>
      </c>
      <c r="BU63" s="13" t="s">
        <v>266</v>
      </c>
      <c r="BV63" s="13" t="s">
        <v>266</v>
      </c>
      <c r="BW63" s="13" t="s">
        <v>266</v>
      </c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1"/>
    </row>
    <row r="64" s="2" customFormat="1" customHeight="1" spans="1:86">
      <c r="A64" s="43"/>
      <c r="B64" s="22" t="s">
        <v>678</v>
      </c>
      <c r="C64" s="22" t="s">
        <v>30</v>
      </c>
      <c r="D64" s="136" t="s">
        <v>338</v>
      </c>
      <c r="E64" s="22" t="s">
        <v>22</v>
      </c>
      <c r="F64" s="22" t="s">
        <v>30</v>
      </c>
      <c r="G64" s="18" t="s">
        <v>22</v>
      </c>
      <c r="H64" s="18" t="s">
        <v>22</v>
      </c>
      <c r="I64" s="18" t="s">
        <v>339</v>
      </c>
      <c r="M64" s="43"/>
      <c r="R64" s="22"/>
      <c r="S64" s="18" t="s">
        <v>37</v>
      </c>
      <c r="T64" s="43"/>
      <c r="V64" s="22"/>
      <c r="W64" s="22"/>
      <c r="X64" s="43"/>
      <c r="Y64" s="18" t="s">
        <v>683</v>
      </c>
      <c r="Z64" s="22"/>
      <c r="AA64" s="18"/>
      <c r="AB64" s="18" t="s">
        <v>683</v>
      </c>
      <c r="AC64" s="22" t="s">
        <v>348</v>
      </c>
      <c r="AD64" s="13" t="s">
        <v>528</v>
      </c>
      <c r="AF64" s="45"/>
      <c r="AH64" s="26">
        <v>22</v>
      </c>
      <c r="AI64" s="22"/>
      <c r="AL64" s="22"/>
      <c r="AM64" s="22"/>
      <c r="AN64" s="22"/>
      <c r="BL64" s="44"/>
      <c r="BM64" s="44"/>
      <c r="BN64" s="13"/>
      <c r="BO64" s="13"/>
      <c r="BP64" s="13" t="s">
        <v>269</v>
      </c>
      <c r="BQ64" s="13" t="s">
        <v>266</v>
      </c>
      <c r="BR64" s="13" t="s">
        <v>266</v>
      </c>
      <c r="BS64" s="13" t="s">
        <v>266</v>
      </c>
      <c r="BT64" s="13" t="s">
        <v>266</v>
      </c>
      <c r="BU64" s="13" t="s">
        <v>266</v>
      </c>
      <c r="BV64" s="13" t="s">
        <v>266</v>
      </c>
      <c r="BW64" s="13" t="s">
        <v>266</v>
      </c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1"/>
    </row>
    <row r="65" s="2" customFormat="1" customHeight="1" spans="1:86">
      <c r="A65" s="43"/>
      <c r="B65" s="22" t="s">
        <v>678</v>
      </c>
      <c r="C65" s="22" t="s">
        <v>30</v>
      </c>
      <c r="D65" s="136" t="s">
        <v>338</v>
      </c>
      <c r="E65" s="22" t="s">
        <v>22</v>
      </c>
      <c r="F65" s="22" t="s">
        <v>30</v>
      </c>
      <c r="G65" s="18" t="s">
        <v>22</v>
      </c>
      <c r="H65" s="18" t="s">
        <v>22</v>
      </c>
      <c r="I65" s="18" t="s">
        <v>339</v>
      </c>
      <c r="M65" s="43"/>
      <c r="R65" s="22"/>
      <c r="S65" s="18" t="s">
        <v>37</v>
      </c>
      <c r="T65" s="43"/>
      <c r="V65" s="22"/>
      <c r="W65" s="22"/>
      <c r="X65" s="43"/>
      <c r="Y65" s="18" t="s">
        <v>683</v>
      </c>
      <c r="Z65" s="22"/>
      <c r="AA65" s="18"/>
      <c r="AB65" s="18" t="s">
        <v>683</v>
      </c>
      <c r="AC65" s="22" t="s">
        <v>348</v>
      </c>
      <c r="AD65" s="13" t="s">
        <v>686</v>
      </c>
      <c r="AF65" s="45"/>
      <c r="AH65" s="26">
        <v>22</v>
      </c>
      <c r="AI65" s="22"/>
      <c r="AL65" s="22"/>
      <c r="AM65" s="22"/>
      <c r="AN65" s="22"/>
      <c r="BL65" s="44"/>
      <c r="BM65" s="44"/>
      <c r="BN65" s="13"/>
      <c r="BO65" s="13"/>
      <c r="BP65" s="13" t="s">
        <v>269</v>
      </c>
      <c r="BQ65" s="13" t="s">
        <v>266</v>
      </c>
      <c r="BR65" s="13" t="s">
        <v>266</v>
      </c>
      <c r="BS65" s="13" t="s">
        <v>266</v>
      </c>
      <c r="BT65" s="13" t="s">
        <v>266</v>
      </c>
      <c r="BU65" s="13" t="s">
        <v>266</v>
      </c>
      <c r="BV65" s="13" t="s">
        <v>266</v>
      </c>
      <c r="BW65" s="13" t="s">
        <v>266</v>
      </c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1"/>
    </row>
    <row r="66" s="2" customFormat="1" customHeight="1" spans="1:86">
      <c r="A66" s="43"/>
      <c r="B66" s="22" t="s">
        <v>687</v>
      </c>
      <c r="C66" s="22" t="s">
        <v>30</v>
      </c>
      <c r="D66" s="136" t="s">
        <v>338</v>
      </c>
      <c r="E66" s="22" t="s">
        <v>22</v>
      </c>
      <c r="F66" s="22" t="s">
        <v>30</v>
      </c>
      <c r="G66" s="18" t="s">
        <v>22</v>
      </c>
      <c r="H66" s="18" t="s">
        <v>22</v>
      </c>
      <c r="I66" s="18" t="s">
        <v>339</v>
      </c>
      <c r="M66" s="43"/>
      <c r="R66" s="22"/>
      <c r="S66" s="18" t="s">
        <v>37</v>
      </c>
      <c r="T66" s="43"/>
      <c r="V66" s="22"/>
      <c r="W66" s="22"/>
      <c r="X66" s="43"/>
      <c r="Y66" s="18" t="s">
        <v>34</v>
      </c>
      <c r="Z66" s="22" t="s">
        <v>688</v>
      </c>
      <c r="AA66" s="18" t="s">
        <v>689</v>
      </c>
      <c r="AB66" s="18" t="s">
        <v>34</v>
      </c>
      <c r="AC66" s="22" t="s">
        <v>456</v>
      </c>
      <c r="AD66" s="13"/>
      <c r="AF66" s="25">
        <v>37265</v>
      </c>
      <c r="AH66" s="26">
        <v>24</v>
      </c>
      <c r="AI66" s="22"/>
      <c r="AL66" s="22"/>
      <c r="AM66" s="22"/>
      <c r="AN66" s="22"/>
      <c r="BL66" s="13"/>
      <c r="BM66" s="13"/>
      <c r="BN66" s="13"/>
      <c r="BO66" s="13"/>
      <c r="BP66" s="13" t="s">
        <v>269</v>
      </c>
      <c r="BQ66" s="13" t="s">
        <v>266</v>
      </c>
      <c r="BR66" s="13" t="s">
        <v>266</v>
      </c>
      <c r="BS66" s="13" t="s">
        <v>266</v>
      </c>
      <c r="BT66" s="13" t="s">
        <v>266</v>
      </c>
      <c r="BU66" s="13" t="s">
        <v>266</v>
      </c>
      <c r="BV66" s="13" t="s">
        <v>266</v>
      </c>
      <c r="BW66" s="13" t="s">
        <v>266</v>
      </c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1"/>
    </row>
    <row r="67" s="2" customFormat="1" customHeight="1" spans="1:86">
      <c r="A67" s="43"/>
      <c r="B67" s="22" t="s">
        <v>690</v>
      </c>
      <c r="C67" s="22" t="s">
        <v>30</v>
      </c>
      <c r="D67" s="136" t="s">
        <v>338</v>
      </c>
      <c r="E67" s="22" t="s">
        <v>22</v>
      </c>
      <c r="F67" s="22" t="s">
        <v>30</v>
      </c>
      <c r="G67" s="18" t="s">
        <v>22</v>
      </c>
      <c r="H67" s="18" t="s">
        <v>22</v>
      </c>
      <c r="I67" s="18" t="s">
        <v>339</v>
      </c>
      <c r="M67" s="43"/>
      <c r="R67" s="22"/>
      <c r="S67" s="18" t="s">
        <v>37</v>
      </c>
      <c r="T67" s="43"/>
      <c r="V67" s="22"/>
      <c r="W67" s="22"/>
      <c r="X67" s="43"/>
      <c r="Y67" s="18" t="s">
        <v>219</v>
      </c>
      <c r="Z67" s="22" t="s">
        <v>691</v>
      </c>
      <c r="AA67" s="18" t="s">
        <v>692</v>
      </c>
      <c r="AB67" s="18" t="s">
        <v>219</v>
      </c>
      <c r="AC67" s="22" t="s">
        <v>356</v>
      </c>
      <c r="AD67" s="13"/>
      <c r="AF67" s="25">
        <v>36014</v>
      </c>
      <c r="AH67" s="26">
        <v>27</v>
      </c>
      <c r="AI67" s="22"/>
      <c r="AL67" s="22"/>
      <c r="AM67" s="22"/>
      <c r="AN67" s="22"/>
      <c r="BL67" s="13"/>
      <c r="BM67" s="13"/>
      <c r="BN67" s="13"/>
      <c r="BO67" s="13"/>
      <c r="BP67" s="13" t="s">
        <v>269</v>
      </c>
      <c r="BQ67" s="13" t="s">
        <v>266</v>
      </c>
      <c r="BR67" s="13" t="s">
        <v>266</v>
      </c>
      <c r="BS67" s="13" t="s">
        <v>266</v>
      </c>
      <c r="BT67" s="13" t="s">
        <v>266</v>
      </c>
      <c r="BU67" s="13" t="s">
        <v>266</v>
      </c>
      <c r="BV67" s="13" t="s">
        <v>266</v>
      </c>
      <c r="BW67" s="13" t="s">
        <v>266</v>
      </c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1"/>
    </row>
    <row r="68" s="2" customFormat="1" customHeight="1" spans="1:86">
      <c r="A68" s="43"/>
      <c r="B68" s="22" t="s">
        <v>693</v>
      </c>
      <c r="C68" s="22" t="s">
        <v>30</v>
      </c>
      <c r="D68" s="136" t="s">
        <v>338</v>
      </c>
      <c r="E68" s="22" t="s">
        <v>22</v>
      </c>
      <c r="F68" s="22" t="s">
        <v>30</v>
      </c>
      <c r="G68" s="18" t="s">
        <v>22</v>
      </c>
      <c r="H68" s="18" t="s">
        <v>22</v>
      </c>
      <c r="I68" s="18" t="s">
        <v>339</v>
      </c>
      <c r="M68" s="43"/>
      <c r="R68" s="22"/>
      <c r="S68" s="18" t="s">
        <v>37</v>
      </c>
      <c r="T68" s="43"/>
      <c r="V68" s="22"/>
      <c r="W68" s="22"/>
      <c r="X68" s="43"/>
      <c r="Y68" s="18" t="s">
        <v>683</v>
      </c>
      <c r="Z68" s="22" t="s">
        <v>694</v>
      </c>
      <c r="AA68" s="18" t="s">
        <v>695</v>
      </c>
      <c r="AB68" s="18" t="s">
        <v>683</v>
      </c>
      <c r="AC68" s="22" t="s">
        <v>456</v>
      </c>
      <c r="AF68" s="25">
        <v>36496</v>
      </c>
      <c r="AH68" s="26">
        <v>27</v>
      </c>
      <c r="AI68" s="22"/>
      <c r="AL68" s="22"/>
      <c r="AM68" s="22"/>
      <c r="AN68" s="22"/>
      <c r="BL68" s="13"/>
      <c r="BM68" s="13"/>
      <c r="BN68" s="13"/>
      <c r="BO68" s="13"/>
      <c r="BP68" s="13" t="s">
        <v>269</v>
      </c>
      <c r="BQ68" s="13" t="s">
        <v>266</v>
      </c>
      <c r="BR68" s="13" t="s">
        <v>266</v>
      </c>
      <c r="BS68" s="13" t="s">
        <v>266</v>
      </c>
      <c r="BT68" s="13" t="s">
        <v>266</v>
      </c>
      <c r="BU68" s="13" t="s">
        <v>266</v>
      </c>
      <c r="BV68" s="13" t="s">
        <v>266</v>
      </c>
      <c r="BW68" s="13" t="s">
        <v>266</v>
      </c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1"/>
    </row>
    <row r="69" customFormat="1" customHeight="1" spans="1:86">
      <c r="BX69" s="30"/>
      <c r="BY69" s="30"/>
      <c r="BZ69" s="30"/>
      <c r="CA69" s="30"/>
      <c r="CB69" s="30"/>
      <c r="CC69" s="30"/>
      <c r="CD69" s="30"/>
      <c r="CE69" s="30"/>
      <c r="CF69" s="30"/>
      <c r="CG69" s="30"/>
    </row>
    <row r="70" customFormat="1" customHeight="1" spans="1:86">
      <c r="BX70" s="30"/>
      <c r="BY70" s="30"/>
      <c r="BZ70" s="30"/>
      <c r="CA70" s="30"/>
      <c r="CB70" s="30"/>
      <c r="CC70" s="30"/>
      <c r="CD70" s="30"/>
      <c r="CE70" s="30"/>
      <c r="CF70" s="30"/>
      <c r="CG70" s="30"/>
    </row>
    <row r="71" customFormat="1" customHeight="1" spans="1:86">
      <c r="BX71" s="30"/>
      <c r="BY71" s="30"/>
      <c r="BZ71" s="30"/>
      <c r="CA71" s="30"/>
      <c r="CB71" s="30"/>
      <c r="CC71" s="30"/>
      <c r="CD71" s="30"/>
      <c r="CE71" s="30"/>
      <c r="CF71" s="30"/>
      <c r="CG71" s="3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CH68" etc:filterBottomFollowUsedRange="0">
    <extLst/>
  </autoFilter>
  <mergeCells count="1">
    <mergeCell ref="A1:BW1"/>
  </mergeCells>
  <conditionalFormatting sqref="A1 BX1:XFD2 A2:BW2 $A72:$XFD1048576">
    <cfRule type="cellIs" dxfId="0" priority="1" operator="equal">
      <formula>"离职"</formula>
    </cfRule>
    <cfRule type="cellIs" dxfId="1" priority="2" operator="equal">
      <formula>"新增"</formula>
    </cfRule>
    <cfRule type="cellIs" dxfId="2" priority="3" operator="equal">
      <formula>"调岗"</formula>
    </cfRule>
    <cfRule type="cellIs" dxfId="0" priority="4" operator="equal">
      <formula>"优化"</formula>
    </cfRule>
  </conditionalFormatting>
  <pageMargins left="0.7" right="0.7" top="0.75" bottom="0.75" header="0.3" footer="0.3"/>
  <pageSetup paperSize="9" orientation="portrait"/>
  <headerFooter/>
  <ignoredErrors>
    <ignoredError sqref="D3:D47 D58:D6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后勤部现状看板分析 </vt:lpstr>
      <vt:lpstr>2026人力资源规划</vt:lpstr>
      <vt:lpstr>人员调整计划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Posi</dc:creator>
  <cp:lastModifiedBy>你这个小猪</cp:lastModifiedBy>
  <dcterms:created xsi:type="dcterms:W3CDTF">2023-05-18T03:15:00Z</dcterms:created>
  <dcterms:modified xsi:type="dcterms:W3CDTF">2026-05-11T08:31:57Z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D5EDD0DC7F2F44D0B9376EC3F30FFA44_13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